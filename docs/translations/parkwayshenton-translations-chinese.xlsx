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How to use" sheetId="1" state="visible" r:id="rId3"/>
    <sheet name="Progress" sheetId="2" state="visible" r:id="rId4"/>
    <sheet name="Translations" sheetId="3" state="visible" r:id="rId5"/>
  </sheets>
  <definedNames>
    <definedName function="false" hidden="false" localSheetId="2" name="_xlnm.Print_Titles" vbProcedure="false">Translations!$4:$4</definedName>
    <definedName function="false" hidden="true" localSheetId="2" name="_xlnm._FilterDatabase" vbProcedure="false">Translations!$A$4:$K$487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<sst xmlns="http://schemas.openxmlformats.org/spreadsheetml/2006/main" count="2756" uniqueCount="1401">
  <si>
    <r>
      <rPr>
        <b val="true"/>
        <sz val="16"/>
        <color rgb="FF1F3864"/>
        <rFont val="Arial"/>
        <family val="0"/>
        <charset val="1"/>
      </rPr>
      <t xml:space="preserve">ReCOGnAIze · /parkwayshenton: Chinese (</t>
    </r>
    <r>
      <rPr>
        <b val="true"/>
        <sz val="16"/>
        <color rgb="FF1F3864"/>
        <rFont val="WenQuanYi Zen Hei"/>
        <family val="2"/>
      </rPr>
      <t xml:space="preserve">中文</t>
    </r>
    <r>
      <rPr>
        <b val="true"/>
        <sz val="16"/>
        <color rgb="FF1F3864"/>
        <rFont val="Arial"/>
        <family val="0"/>
        <charset val="1"/>
      </rPr>
      <t xml:space="preserve">) translation review</t>
    </r>
  </si>
  <si>
    <t xml:space="preserve">Every visitor-facing string in the Parkway Shenton flow, in English and Chinese, in the order a visitor meets them. Taken from the app's copy files at commit 9efce8d.</t>
  </si>
  <si>
    <t xml:space="preserve">What to do</t>
  </si>
  <si>
    <t xml:space="preserve">1. Read</t>
  </si>
  <si>
    <t xml:space="preserve">On the Translations tab, read each row's English, then the current Chinese. The English is the source; the Chinese is what the app shows today.</t>
  </si>
  <si>
    <t xml:space="preserve">2. Mark a status</t>
  </si>
  <si>
    <t xml:space="preserve">In the Status column, pick OK, Change needed or Question from the dropdown.</t>
  </si>
  <si>
    <t xml:space="preserve">3. Suggest a fix</t>
  </si>
  <si>
    <t xml:space="preserve">For Change needed, type the full corrected text in Suggested text (the whole string, not just the changed word).</t>
  </si>
  <si>
    <t xml:space="preserve">4. Comment</t>
  </si>
  <si>
    <t xml:space="preserve">Use Comments for anything else: a question, a note on tone, a term to use consistently.</t>
  </si>
  <si>
    <t xml:space="preserve">Only edit</t>
  </si>
  <si>
    <t xml:space="preserve">The yellow columns (Status, Suggested text, Comments). Please don't add, delete or reorder columns: your answers are matched back to the app by the ID in column A.</t>
  </si>
  <si>
    <t xml:space="preserve">Example of a filled-in row (illustration only, not a real finding)</t>
  </si>
  <si>
    <t xml:space="preserve">English</t>
  </si>
  <si>
    <t xml:space="preserve">Get started for free</t>
  </si>
  <si>
    <t xml:space="preserve">Chinese (current)</t>
  </si>
  <si>
    <t xml:space="preserve">免费开始</t>
  </si>
  <si>
    <t xml:space="preserve">Status</t>
  </si>
  <si>
    <t xml:space="preserve">Change needed</t>
  </si>
  <si>
    <t xml:space="preserve">Suggested text</t>
  </si>
  <si>
    <t xml:space="preserve">免费开始检测</t>
  </si>
  <si>
    <t xml:space="preserve">Comments</t>
  </si>
  <si>
    <r>
      <rPr>
        <sz val="10"/>
        <rFont val="Arial"/>
        <family val="0"/>
        <charset val="1"/>
      </rPr>
      <t xml:space="preserve">"</t>
    </r>
    <r>
      <rPr>
        <sz val="10"/>
        <rFont val="WenQuanYi Zen Hei"/>
        <family val="2"/>
      </rPr>
      <t xml:space="preserve">开始</t>
    </r>
    <r>
      <rPr>
        <sz val="10"/>
        <rFont val="Arial"/>
        <family val="0"/>
        <charset val="1"/>
      </rPr>
      <t xml:space="preserve">" alone reads as "start" with no object; adding </t>
    </r>
    <r>
      <rPr>
        <sz val="10"/>
        <rFont val="WenQuanYi Zen Hei"/>
        <family val="2"/>
      </rPr>
      <t xml:space="preserve">检测 </t>
    </r>
    <r>
      <rPr>
        <sz val="10"/>
        <rFont val="Arial"/>
        <family val="0"/>
        <charset val="1"/>
      </rPr>
      <t xml:space="preserve">says what is being started.</t>
    </r>
  </si>
  <si>
    <t xml:space="preserve">Reading the rows</t>
  </si>
  <si>
    <t xml:space="preserve">{placeholders}</t>
  </si>
  <si>
    <t xml:space="preserve">Text in curly brackets, such as {name}, {percentile} or {ageLabel}, is replaced by a live value. Keep it exactly as written, but move it wherever it reads naturally.</t>
  </si>
  <si>
    <t xml:space="preserve">Grey rows</t>
  </si>
  <si>
    <t xml:space="preserve">"Assembled preview" rows show a sentence that the screen builds from several rows (for example a headline with one word in italics, or a clause with a link in the middle). Use the preview to judge how the sentence reads; put corrections on the individual rows beneath it.</t>
  </si>
  <si>
    <t xml:space="preserve">Fragments</t>
  </si>
  <si>
    <t xml:space="preserve">Rows marked "Fragment" are pieces of one sentence. Spaces at the start or end are part of the text and matter.</t>
  </si>
  <si>
    <t xml:space="preserve">Orange cells</t>
  </si>
  <si>
    <t xml:space="preserve">Text that is hardcoded in English and stays English in every language (for example a journal title, or a game screen with no translation yet). Mark it Change needed if it should be translated.</t>
  </si>
  <si>
    <t xml:space="preserve">Red rows (legal)</t>
  </si>
  <si>
    <t xml:space="preserve">IHH Healthcare Singapore's consent clauses. The English is IHH's own legal wording; the Chinese is our in-house translation, not IHH's, and must say exactly what the English says, no more and no less.</t>
  </si>
  <si>
    <t xml:space="preserve">Shown when</t>
  </si>
  <si>
    <t xml:space="preserve">Blank means the text is always shown. The report comes in four versions (under 40 / 40 and over × fast / slower result); report rows name the versions they appear in.</t>
  </si>
  <si>
    <t xml:space="preserve">Screen readers</t>
  </si>
  <si>
    <t xml:space="preserve">Rows marked "screen readers" are not printed on screen but are read aloud to visually impaired visitors. Please still translate them.</t>
  </si>
  <si>
    <t xml:space="preserve">Screen 9</t>
  </si>
  <si>
    <t xml:space="preserve">The "full picture" page (/parkwayshenton/report-full) is translated, but nothing in the flow links to it at the moment. Review it only if time allows.</t>
  </si>
  <si>
    <t xml:space="preserve">Tabs</t>
  </si>
  <si>
    <t xml:space="preserve">Translations</t>
  </si>
  <si>
    <t xml:space="preserve">The flow, screen by screen: landing, what happens next, game intro, tutorial and game, game complete, quiz, loading, report, and the optional unlinked page.</t>
  </si>
  <si>
    <t xml:space="preserve">Progress</t>
  </si>
  <si>
    <t xml:space="preserve">Counts per screen, filled in automatically from your statuses.</t>
  </si>
  <si>
    <t xml:space="preserve">Not in this sheet</t>
  </si>
  <si>
    <t xml:space="preserve">Result email</t>
  </si>
  <si>
    <t xml:space="preserve">The email with the visitor's result is sent in English whatever language they picked, by design, so it isn't here.</t>
  </si>
  <si>
    <t xml:space="preserve">Brand &amp; proper names</t>
  </si>
  <si>
    <t xml:space="preserve">ReCOGnAIze, Gray Matter Solutions, IHH Healthcare Singapore, BrainScan and the press logos are shown as they are and are not listed separately.</t>
  </si>
  <si>
    <t xml:space="preserve">Review progress by screen</t>
  </si>
  <si>
    <t xml:space="preserve">Counts update as statuses are filled in. Preview (grey) rows are not counted.</t>
  </si>
  <si>
    <t xml:space="preserve">Screen</t>
  </si>
  <si>
    <t xml:space="preserve">Strings</t>
  </si>
  <si>
    <t xml:space="preserve">reviewed</t>
  </si>
  <si>
    <t xml:space="preserve">OK</t>
  </si>
  <si>
    <t xml:space="preserve">change needed</t>
  </si>
  <si>
    <t xml:space="preserve">question</t>
  </si>
  <si>
    <t xml:space="preserve">% reviewed</t>
  </si>
  <si>
    <t xml:space="preserve">1 · Landing (/parkwayshenton)</t>
  </si>
  <si>
    <t xml:space="preserve">2 · What happens next (/parkwayshenton/ready)</t>
  </si>
  <si>
    <t xml:space="preserve">3 · Game intro (/parkwayshenton/challenge)</t>
  </si>
  <si>
    <t xml:space="preserve">4 · Tutorial &amp; game (/symbol-matching)</t>
  </si>
  <si>
    <t xml:space="preserve">5 · Game complete (/parkwayshenton/game-complete)</t>
  </si>
  <si>
    <t xml:space="preserve">6 · Brain health quiz (/parkwayshenton/quiz)</t>
  </si>
  <si>
    <t xml:space="preserve">7 · Building your profile (/parkwayshenton/loading)</t>
  </si>
  <si>
    <t xml:space="preserve">8 · Report (/parkwayshenton/report)</t>
  </si>
  <si>
    <t xml:space="preserve">9 · Not linked (optional): /parkwayshenton/report-full</t>
  </si>
  <si>
    <t xml:space="preserve">Total</t>
  </si>
  <si>
    <r>
      <rPr>
        <b val="true"/>
        <sz val="14"/>
        <color rgb="FF1F3864"/>
        <rFont val="Arial"/>
        <family val="0"/>
        <charset val="1"/>
      </rPr>
      <t xml:space="preserve">ReCOGnAIze · /parkwayshenton: English → Chinese (</t>
    </r>
    <r>
      <rPr>
        <b val="true"/>
        <sz val="14"/>
        <color rgb="FF1F3864"/>
        <rFont val="WenQuanYi Zen Hei"/>
        <family val="2"/>
      </rPr>
      <t xml:space="preserve">中文</t>
    </r>
    <r>
      <rPr>
        <b val="true"/>
        <sz val="14"/>
        <color rgb="FF1F3864"/>
        <rFont val="Arial"/>
        <family val="0"/>
        <charset val="1"/>
      </rPr>
      <t xml:space="preserve">) review</t>
    </r>
  </si>
  <si>
    <t xml:space="preserve">Fill in the yellow columns only (Status, Suggested text, Comments). Grey rows are previews of how split lines read when joined; orange cells stay in English.</t>
  </si>
  <si>
    <t xml:space="preserve">ID</t>
  </si>
  <si>
    <t xml:space="preserve">Section</t>
  </si>
  <si>
    <t xml:space="preserve">What it is</t>
  </si>
  <si>
    <t xml:space="preserve">English (source)</t>
  </si>
  <si>
    <r>
      <rPr>
        <b val="true"/>
        <sz val="10"/>
        <color rgb="FFFFFFFF"/>
        <rFont val="Arial"/>
        <family val="0"/>
        <charset val="1"/>
      </rPr>
      <t xml:space="preserve">Chinese </t>
    </r>
    <r>
      <rPr>
        <b val="true"/>
        <sz val="10"/>
        <color rgb="FFFFFFFF"/>
        <rFont val="WenQuanYi Zen Hei"/>
        <family val="2"/>
      </rPr>
      <t xml:space="preserve">中文 </t>
    </r>
    <r>
      <rPr>
        <b val="true"/>
        <sz val="10"/>
        <color rgb="FFFFFFFF"/>
        <rFont val="Arial"/>
        <family val="0"/>
        <charset val="1"/>
      </rPr>
      <t xml:space="preserve">(current)</t>
    </r>
  </si>
  <si>
    <t xml:space="preserve">Notes for translator</t>
  </si>
  <si>
    <t xml:space="preserve">Browser tab &amp; link preview</t>
  </si>
  <si>
    <t xml:space="preserve">Browser tab title</t>
  </si>
  <si>
    <t xml:space="preserve">Brain Health Check | ReCOGnAIze</t>
  </si>
  <si>
    <r>
      <rPr>
        <sz val="10"/>
        <rFont val="WenQuanYi Zen Hei"/>
        <family val="2"/>
      </rPr>
      <t xml:space="preserve">脑健康检查 </t>
    </r>
    <r>
      <rPr>
        <sz val="10"/>
        <rFont val="Arial"/>
        <family val="0"/>
        <charset val="1"/>
      </rPr>
      <t xml:space="preserve">| ReCOGnAIze</t>
    </r>
  </si>
  <si>
    <t xml:space="preserve">Search result description</t>
  </si>
  <si>
    <t xml:space="preserve">You track your heart, your sleep, your blood sugar. This is the same idea for your brain: a 3-minute check and a score you can act on.</t>
  </si>
  <si>
    <r>
      <rPr>
        <sz val="10"/>
        <rFont val="WenQuanYi Zen Hei"/>
        <family val="2"/>
      </rPr>
      <t xml:space="preserve">您会关注心脏、睡眠和血糖。大脑同样值得关注：</t>
    </r>
    <r>
      <rPr>
        <sz val="10"/>
        <rFont val="Arial"/>
        <family val="0"/>
        <charset val="1"/>
      </rPr>
      <t xml:space="preserve">3 </t>
    </r>
    <r>
      <rPr>
        <sz val="10"/>
        <rFont val="WenQuanYi Zen Hei"/>
        <family val="2"/>
      </rPr>
      <t xml:space="preserve">分钟检测，一个可以据以行动的分数。</t>
    </r>
  </si>
  <si>
    <t xml:space="preserve">Not on screen: shown by Google and link previews.</t>
  </si>
  <si>
    <t xml:space="preserve">Link preview title</t>
  </si>
  <si>
    <t xml:space="preserve">You tracked everything. What about your brain?</t>
  </si>
  <si>
    <t xml:space="preserve">什么都追踪了，那大脑呢？</t>
  </si>
  <si>
    <t xml:space="preserve">Not on screen: shown when the link is shared (WhatsApp etc.).</t>
  </si>
  <si>
    <t xml:space="preserve">Link preview description</t>
  </si>
  <si>
    <t xml:space="preserve">Take a 3-min quiz and find out how your brain is performing.</t>
  </si>
  <si>
    <r>
      <rPr>
        <sz val="10"/>
        <rFont val="WenQuanYi Zen Hei"/>
        <family val="2"/>
      </rPr>
      <t xml:space="preserve">花 </t>
    </r>
    <r>
      <rPr>
        <sz val="10"/>
        <rFont val="Arial"/>
        <family val="0"/>
        <charset val="1"/>
      </rPr>
      <t xml:space="preserve">3 </t>
    </r>
    <r>
      <rPr>
        <sz val="10"/>
        <rFont val="WenQuanYi Zen Hei"/>
        <family val="2"/>
      </rPr>
      <t xml:space="preserve">分钟做个测试，看看您的大脑表现如何。</t>
    </r>
  </si>
  <si>
    <t xml:space="preserve">Not on screen: shown when the link is shared.</t>
  </si>
  <si>
    <t xml:space="preserve">Hero</t>
  </si>
  <si>
    <t xml:space="preserve">Credibility pill (top)</t>
  </si>
  <si>
    <t xml:space="preserve">Clinically validated at NTU LKCMedicine</t>
  </si>
  <si>
    <t xml:space="preserve">经南洋理工大学李光前医学院临床验证</t>
  </si>
  <si>
    <t xml:space="preserve">P1</t>
  </si>
  <si>
    <t xml:space="preserve">Headline, as shown (two lines)</t>
  </si>
  <si>
    <t xml:space="preserve">You tracked everything / What about your brain?</t>
  </si>
  <si>
    <r>
      <rPr>
        <i val="true"/>
        <sz val="10"/>
        <color rgb="FF595959"/>
        <rFont val="WenQuanYi Zen Hei"/>
        <family val="2"/>
      </rPr>
      <t xml:space="preserve">您什么都追踪了 </t>
    </r>
    <r>
      <rPr>
        <i val="true"/>
        <sz val="10"/>
        <color rgb="FF595959"/>
        <rFont val="Arial"/>
        <family val="0"/>
        <charset val="1"/>
      </rPr>
      <t xml:space="preserve">/ </t>
    </r>
    <r>
      <rPr>
        <i val="true"/>
        <sz val="10"/>
        <color rgb="FF595959"/>
        <rFont val="WenQuanYi Zen Hei"/>
        <family val="2"/>
      </rPr>
      <t xml:space="preserve">那您的大脑呢？</t>
    </r>
  </si>
  <si>
    <t xml:space="preserve">Preview only. " / " marks the line break. Italic words: heroLine1Emph and heroLine2Emph. Put corrections on the rows below.</t>
  </si>
  <si>
    <t xml:space="preserve">Headline line 1 — start</t>
  </si>
  <si>
    <t xml:space="preserve">You tracked </t>
  </si>
  <si>
    <t xml:space="preserve">您什么都</t>
  </si>
  <si>
    <t xml:space="preserve">Fragment. Followed directly by the italic word on the next row.</t>
  </si>
  <si>
    <t xml:space="preserve">Headline line 1 — italic word</t>
  </si>
  <si>
    <t xml:space="preserve">everything</t>
  </si>
  <si>
    <t xml:space="preserve">追踪了</t>
  </si>
  <si>
    <t xml:space="preserve">Fragment, set in italics.</t>
  </si>
  <si>
    <t xml:space="preserve">Headline line 2 — start</t>
  </si>
  <si>
    <t xml:space="preserve">What about your </t>
  </si>
  <si>
    <t xml:space="preserve">那您的</t>
  </si>
  <si>
    <t xml:space="preserve">Headline line 2 — italic word</t>
  </si>
  <si>
    <t xml:space="preserve">brain</t>
  </si>
  <si>
    <t xml:space="preserve">大脑</t>
  </si>
  <si>
    <t xml:space="preserve">Headline line 2 — end</t>
  </si>
  <si>
    <t xml:space="preserve">?</t>
  </si>
  <si>
    <t xml:space="preserve">呢？</t>
  </si>
  <si>
    <t xml:space="preserve">Fragment. Closes line 2.</t>
  </si>
  <si>
    <t xml:space="preserve">Sub-headline</t>
  </si>
  <si>
    <t xml:space="preserve">Take a 3-min quiz and find out how your brain is performing</t>
  </si>
  <si>
    <r>
      <rPr>
        <sz val="10"/>
        <rFont val="WenQuanYi Zen Hei"/>
        <family val="2"/>
      </rPr>
      <t xml:space="preserve">花 </t>
    </r>
    <r>
      <rPr>
        <sz val="10"/>
        <rFont val="Arial"/>
        <family val="0"/>
        <charset val="1"/>
      </rPr>
      <t xml:space="preserve">3 </t>
    </r>
    <r>
      <rPr>
        <sz val="10"/>
        <rFont val="WenQuanYi Zen Hei"/>
        <family val="2"/>
      </rPr>
      <t xml:space="preserve">分钟做个测试，看看您的大脑表现如何</t>
    </r>
  </si>
  <si>
    <t xml:space="preserve">Language picker</t>
  </si>
  <si>
    <t xml:space="preserve">Picker label (screen readers)</t>
  </si>
  <si>
    <t xml:space="preserve">Choose your language</t>
  </si>
  <si>
    <t xml:space="preserve">选择语言</t>
  </si>
  <si>
    <t xml:space="preserve">Read aloud by screen readers; not printed on screen.</t>
  </si>
  <si>
    <t xml:space="preserve">Language names on the picker</t>
  </si>
  <si>
    <t xml:space="preserve">中文</t>
  </si>
  <si>
    <r>
      <rPr>
        <sz val="10"/>
        <rFont val="Arial"/>
        <family val="0"/>
        <charset val="1"/>
      </rPr>
      <t xml:space="preserve">Each language's name is written in that language, and the picker shows all three whichever is selected. Only check that </t>
    </r>
    <r>
      <rPr>
        <sz val="10"/>
        <rFont val="WenQuanYi Zen Hei"/>
        <family val="2"/>
      </rPr>
      <t xml:space="preserve">中文 </t>
    </r>
    <r>
      <rPr>
        <sz val="10"/>
        <rFont val="Arial"/>
        <family val="0"/>
        <charset val="1"/>
      </rPr>
      <t xml:space="preserve">is the name you'd expect.</t>
    </r>
  </si>
  <si>
    <t xml:space="preserve">Sign-up form</t>
  </si>
  <si>
    <t xml:space="preserve">Name field placeholder</t>
  </si>
  <si>
    <t xml:space="preserve">Your name</t>
  </si>
  <si>
    <t xml:space="preserve">您的姓名</t>
  </si>
  <si>
    <t xml:space="preserve">Name field label (screen readers)</t>
  </si>
  <si>
    <t xml:space="preserve">Name</t>
  </si>
  <si>
    <t xml:space="preserve">姓名</t>
  </si>
  <si>
    <t xml:space="preserve">Email field placeholder</t>
  </si>
  <si>
    <t xml:space="preserve">your@email.com</t>
  </si>
  <si>
    <t xml:space="preserve">An example address, not a sentence.</t>
  </si>
  <si>
    <t xml:space="preserve">Email field label (screen readers)</t>
  </si>
  <si>
    <t xml:space="preserve">Email</t>
  </si>
  <si>
    <t xml:space="preserve">电邮</t>
  </si>
  <si>
    <t xml:space="preserve">Consent 1 · Gray Matter Solutions</t>
  </si>
  <si>
    <t xml:space="preserve">Line above the first tickbox</t>
  </si>
  <si>
    <t xml:space="preserve">I hereby confirm that I am submitting this form:</t>
  </si>
  <si>
    <t xml:space="preserve">我在此确认，我提交此表格：</t>
  </si>
  <si>
    <t xml:space="preserve">Tickbox 1 — first sentence</t>
  </si>
  <si>
    <t xml:space="preserve">On my own behalf; or on behalf of another person, and I confirm that I am authorized to provide the answers in this form.</t>
  </si>
  <si>
    <t xml:space="preserve">以本人名义提交；或代表他人提交，并确认本人已获授权在此表格中提供相关答案。</t>
  </si>
  <si>
    <t xml:space="preserve">Tickbox 1 — second sentence (in bold)</t>
  </si>
  <si>
    <t xml:space="preserve">By registering, I consent for Gray Matter Solutions to contact me with emails and newsletters.</t>
  </si>
  <si>
    <r>
      <rPr>
        <sz val="10"/>
        <rFont val="WenQuanYi Zen Hei"/>
        <family val="2"/>
      </rPr>
      <t xml:space="preserve">注册即表示本人同意 </t>
    </r>
    <r>
      <rPr>
        <sz val="10"/>
        <rFont val="Arial"/>
        <family val="0"/>
        <charset val="1"/>
      </rPr>
      <t xml:space="preserve">Gray Matter Solutions </t>
    </r>
    <r>
      <rPr>
        <sz val="10"/>
        <rFont val="WenQuanYi Zen Hei"/>
        <family val="2"/>
      </rPr>
      <t xml:space="preserve">通过电子邮件与通讯与本人联系。</t>
    </r>
  </si>
  <si>
    <t xml:space="preserve">Required consent. Printed in bold.</t>
  </si>
  <si>
    <t xml:space="preserve">Consent 2 · IHH Healthcare Singapore (legal)</t>
  </si>
  <si>
    <t xml:space="preserve">Label above the second tickbox</t>
  </si>
  <si>
    <t xml:space="preserve">We need your consent on</t>
  </si>
  <si>
    <t xml:space="preserve">我们需要您的同意</t>
  </si>
  <si>
    <t xml:space="preserve">The rows after this one are IHH's consent. English is IHH's own legal wording; the Chinese is our in-house translation of it, not IHH's, so it must say exactly what the English says, no more and no less.</t>
  </si>
  <si>
    <t xml:space="preserve">P2</t>
  </si>
  <si>
    <t xml:space="preserve">Clause 1, as shown</t>
  </si>
  <si>
    <t xml:space="preserve">By providing the information set out in this form, I consent to IHH Healthcare Singapore and their representatives and/or agents collecting, using and disclosing my personal data to provide me with medical treatment and other reasonably related purposes. Such purposes are set out in the IHH Healthcare Singapore Data Protection Notice, or available on request.</t>
  </si>
  <si>
    <r>
      <rPr>
        <i val="true"/>
        <sz val="10"/>
        <color rgb="FF595959"/>
        <rFont val="WenQuanYi Zen Hei"/>
        <family val="2"/>
      </rPr>
      <t xml:space="preserve">提供本表格所列的信息，即表示本人同意 </t>
    </r>
    <r>
      <rPr>
        <i val="true"/>
        <sz val="10"/>
        <color rgb="FF595959"/>
        <rFont val="Arial"/>
        <family val="0"/>
        <charset val="1"/>
      </rPr>
      <t xml:space="preserve">IHH Healthcare Singapore </t>
    </r>
    <r>
      <rPr>
        <i val="true"/>
        <sz val="10"/>
        <color rgb="FF595959"/>
        <rFont val="WenQuanYi Zen Hei"/>
        <family val="2"/>
      </rPr>
      <t xml:space="preserve">及其代表和／或代理人收集、使用及披露本人的个人资料，用于为本人提供医疗治疗以及其他合理相关的用途。相关用途详载于《</t>
    </r>
    <r>
      <rPr>
        <i val="true"/>
        <sz val="10"/>
        <color rgb="FF595959"/>
        <rFont val="Arial"/>
        <family val="0"/>
        <charset val="1"/>
      </rPr>
      <t xml:space="preserve">IHH Healthcare Singapore </t>
    </r>
    <r>
      <rPr>
        <i val="true"/>
        <sz val="10"/>
        <color rgb="FF595959"/>
        <rFont val="WenQuanYi Zen Hei"/>
        <family val="2"/>
      </rPr>
      <t xml:space="preserve">资料保护通知》，亦可应要求索取。</t>
    </r>
  </si>
  <si>
    <t xml:space="preserve">LEGAL TEXT (IHH): must say exactly what the English says. See How to use. Preview only: the three rows below joined. The notice's name is a link.</t>
  </si>
  <si>
    <t xml:space="preserve">Clause 1 — start</t>
  </si>
  <si>
    <t xml:space="preserve">By providing the information set out in this form, I consent to IHH Healthcare Singapore and their representatives and/or agents collecting, using and disclosing my personal data to provide me with medical treatment and other reasonably related purposes. Such purposes are set out in the </t>
  </si>
  <si>
    <r>
      <rPr>
        <sz val="10"/>
        <rFont val="WenQuanYi Zen Hei"/>
        <family val="2"/>
      </rPr>
      <t xml:space="preserve">提供本表格所列的信息，即表示本人同意 </t>
    </r>
    <r>
      <rPr>
        <sz val="10"/>
        <rFont val="Arial"/>
        <family val="0"/>
        <charset val="1"/>
      </rPr>
      <t xml:space="preserve">IHH Healthcare Singapore </t>
    </r>
    <r>
      <rPr>
        <sz val="10"/>
        <rFont val="WenQuanYi Zen Hei"/>
        <family val="2"/>
      </rPr>
      <t xml:space="preserve">及其代表和／或代理人收集、使用及披露本人的个人资料，用于为本人提供医疗治疗以及其他合理相关的用途。相关用途详载于《</t>
    </r>
  </si>
  <si>
    <t xml:space="preserve">LEGAL TEXT (IHH): must say exactly what the English says. See How to use. Fragment: followed directly by the notice's name.</t>
  </si>
  <si>
    <t xml:space="preserve">Clause 1 — name of IHH's notice (link)</t>
  </si>
  <si>
    <t xml:space="preserve">IHH Healthcare Singapore Data Protection Notice</t>
  </si>
  <si>
    <r>
      <rPr>
        <sz val="10"/>
        <rFont val="Arial"/>
        <family val="0"/>
        <charset val="1"/>
      </rPr>
      <t xml:space="preserve">IHH Healthcare Singapore </t>
    </r>
    <r>
      <rPr>
        <sz val="10"/>
        <rFont val="WenQuanYi Zen Hei"/>
        <family val="2"/>
      </rPr>
      <t xml:space="preserve">资料保护通知</t>
    </r>
  </si>
  <si>
    <t xml:space="preserve">LEGAL TEXT (IHH): must say exactly what the English says. See How to use. Fragment: shown underlined, as a link.</t>
  </si>
  <si>
    <t xml:space="preserve">Clause 1 — end</t>
  </si>
  <si>
    <t xml:space="preserve">, or available on request.</t>
  </si>
  <si>
    <t xml:space="preserve">》，亦可应要求索取。</t>
  </si>
  <si>
    <t xml:space="preserve">LEGAL TEXT (IHH): must say exactly what the English says. See How to use. Fragment: closes clause 1.</t>
  </si>
  <si>
    <t xml:space="preserve">Clause 2 — marketing</t>
  </si>
  <si>
    <t xml:space="preserve">I also consent to IHH Healthcare Singapore, their representatives, agents and/or business partners collecting, using and disclosing my personal data for marketing and promotional purposes.</t>
  </si>
  <si>
    <r>
      <rPr>
        <sz val="10"/>
        <rFont val="WenQuanYi Zen Hei"/>
        <family val="2"/>
      </rPr>
      <t xml:space="preserve">本人亦同意 </t>
    </r>
    <r>
      <rPr>
        <sz val="10"/>
        <rFont val="Arial"/>
        <family val="0"/>
        <charset val="1"/>
      </rPr>
      <t xml:space="preserve">IHH Healthcare Singapore </t>
    </r>
    <r>
      <rPr>
        <sz val="10"/>
        <rFont val="WenQuanYi Zen Hei"/>
        <family val="2"/>
      </rPr>
      <t xml:space="preserve">及其代表、代理人和／或业务伙伴收集、使用及披露本人的个人资料，用于营销及推广用途。</t>
    </r>
  </si>
  <si>
    <t xml:space="preserve">LEGAL TEXT (IHH): must say exactly what the English says. See How to use.</t>
  </si>
  <si>
    <t xml:space="preserve">Clause 3 — Do-Not-Call</t>
  </si>
  <si>
    <t xml:space="preserve">I agree to receiving marketing messages via SMS, telephone call and other Singapore phone number-based messaging, regardless of my registration with the Do-Not-Call registry.</t>
  </si>
  <si>
    <r>
      <rPr>
        <sz val="10"/>
        <rFont val="WenQuanYi Zen Hei"/>
        <family val="2"/>
      </rPr>
      <t xml:space="preserve">本人同意通过短信（</t>
    </r>
    <r>
      <rPr>
        <sz val="10"/>
        <rFont val="Arial"/>
        <family val="0"/>
        <charset val="1"/>
      </rPr>
      <t xml:space="preserve">SMS</t>
    </r>
    <r>
      <rPr>
        <sz val="10"/>
        <rFont val="WenQuanYi Zen Hei"/>
        <family val="2"/>
      </rPr>
      <t xml:space="preserve">）、电话及其他以新加坡电话号码为基础的通讯方式接收营销信息，无论本人是否已在谢绝来电登记处（</t>
    </r>
    <r>
      <rPr>
        <sz val="10"/>
        <rFont val="Arial"/>
        <family val="0"/>
        <charset val="1"/>
      </rPr>
      <t xml:space="preserve">Do-Not-Call Registry</t>
    </r>
    <r>
      <rPr>
        <sz val="10"/>
        <rFont val="WenQuanYi Zen Hei"/>
        <family val="2"/>
      </rPr>
      <t xml:space="preserve">）登记。</t>
    </r>
  </si>
  <si>
    <t xml:space="preserve">LEGAL TEXT (IHH): must say exactly what the English says. See How to use. "Do-Not-Call Registry" is kept in English in brackets on purpose, so it's clear which registry is meant.</t>
  </si>
  <si>
    <t xml:space="preserve">Error messages (form)</t>
  </si>
  <si>
    <t xml:space="preserve">No name entered</t>
  </si>
  <si>
    <t xml:space="preserve">Please enter your name.</t>
  </si>
  <si>
    <t xml:space="preserve">请输入您的姓名。</t>
  </si>
  <si>
    <t xml:space="preserve">Invalid email</t>
  </si>
  <si>
    <t xml:space="preserve">Please enter a valid email address.</t>
  </si>
  <si>
    <t xml:space="preserve">请输入有效的电邮地址。</t>
  </si>
  <si>
    <t xml:space="preserve">Tickbox 1 not ticked</t>
  </si>
  <si>
    <t xml:space="preserve">Please agree to the required consent to continue.</t>
  </si>
  <si>
    <t xml:space="preserve">请勾选必填的同意项以继续。</t>
  </si>
  <si>
    <t xml:space="preserve">Tickbox 2 not ticked</t>
  </si>
  <si>
    <t xml:space="preserve">Please also agree to IHH Healthcare Singapore's consent to continue.</t>
  </si>
  <si>
    <r>
      <rPr>
        <sz val="10"/>
        <rFont val="WenQuanYi Zen Hei"/>
        <family val="2"/>
      </rPr>
      <t xml:space="preserve">请同时同意 </t>
    </r>
    <r>
      <rPr>
        <sz val="10"/>
        <rFont val="Arial"/>
        <family val="0"/>
        <charset val="1"/>
      </rPr>
      <t xml:space="preserve">IHH Healthcare Singapore </t>
    </r>
    <r>
      <rPr>
        <sz val="10"/>
        <rFont val="WenQuanYi Zen Hei"/>
        <family val="2"/>
      </rPr>
      <t xml:space="preserve">的条款以继续。</t>
    </r>
  </si>
  <si>
    <t xml:space="preserve">"IHH Healthcare Singapore" stays in English as a proper name.</t>
  </si>
  <si>
    <t xml:space="preserve">Save failed</t>
  </si>
  <si>
    <t xml:space="preserve">We couldn't save that. Please try again.</t>
  </si>
  <si>
    <t xml:space="preserve">保存失败，请再试一次。</t>
  </si>
  <si>
    <t xml:space="preserve">Start button</t>
  </si>
  <si>
    <t xml:space="preserve">Button</t>
  </si>
  <si>
    <t xml:space="preserve">Button while saving</t>
  </si>
  <si>
    <t xml:space="preserve">Saving…</t>
  </si>
  <si>
    <t xml:space="preserve">正在保存…</t>
  </si>
  <si>
    <t xml:space="preserve">Press rail</t>
  </si>
  <si>
    <t xml:space="preserve">Label over the press logos</t>
  </si>
  <si>
    <t xml:space="preserve">As featured in</t>
  </si>
  <si>
    <t xml:space="preserve">媒体报道</t>
  </si>
  <si>
    <t xml:space="preserve">P3</t>
  </si>
  <si>
    <t xml:space="preserve">Fine print (below the video)</t>
  </si>
  <si>
    <t xml:space="preserve">Paragraph 1, as shown</t>
  </si>
  <si>
    <t xml:space="preserve">By registering, you agree for Gray Matter Solutions Pte Ltd and its related corporations and/or third-party service providers to collect, store, process and/or disclose your personal data for the purpose of sending you your assessment results, electronic direct mailers (EDMs), newsletters, and invitations to talks and events organised by us. You can unsubscribe at any time by clicking the link in the footer of our emails. For more information about our privacy practices, refer to our Privacy Policy.</t>
  </si>
  <si>
    <r>
      <rPr>
        <i val="true"/>
        <sz val="10"/>
        <color rgb="FF595959"/>
        <rFont val="WenQuanYi Zen Hei"/>
        <family val="2"/>
      </rPr>
      <t xml:space="preserve">注册即表示您同意 </t>
    </r>
    <r>
      <rPr>
        <i val="true"/>
        <sz val="10"/>
        <color rgb="FF595959"/>
        <rFont val="Arial"/>
        <family val="0"/>
        <charset val="1"/>
      </rPr>
      <t xml:space="preserve">Gray Matter Solutions Pte Ltd </t>
    </r>
    <r>
      <rPr>
        <i val="true"/>
        <sz val="10"/>
        <color rgb="FF595959"/>
        <rFont val="WenQuanYi Zen Hei"/>
        <family val="2"/>
      </rPr>
      <t xml:space="preserve">及其关联公司和／或第三方服务供应商收集、储存、处理和／或披露您的个人资料，用于向您发送评估结果、电子邮件通讯（</t>
    </r>
    <r>
      <rPr>
        <i val="true"/>
        <sz val="10"/>
        <color rgb="FF595959"/>
        <rFont val="Arial"/>
        <family val="0"/>
        <charset val="1"/>
      </rPr>
      <t xml:space="preserve">EDM</t>
    </r>
    <r>
      <rPr>
        <i val="true"/>
        <sz val="10"/>
        <color rgb="FF595959"/>
        <rFont val="WenQuanYi Zen Hei"/>
        <family val="2"/>
      </rPr>
      <t xml:space="preserve">）、新闻通讯，以及由我方举办的讲座与活动邀请。您可随时点击邮件页脚的链接取消订阅。有关我们隐私做法的更多信息，请参阅我们的隐私政策。</t>
    </r>
  </si>
  <si>
    <t xml:space="preserve">Preview only: the three rows below joined. The policy name is a link.</t>
  </si>
  <si>
    <t xml:space="preserve">Paragraph 1 — start</t>
  </si>
  <si>
    <t xml:space="preserve">By registering, you agree for Gray Matter Solutions Pte Ltd and its related corporations and/or third-party service providers to collect, store, process and/or disclose your personal data for the purpose of sending you your assessment results, electronic direct mailers (EDMs), newsletters, and invitations to talks and events organised by us. You can unsubscribe at any time by clicking the link in the footer of our emails. For more information about our privacy practices, refer to our </t>
  </si>
  <si>
    <r>
      <rPr>
        <sz val="10"/>
        <rFont val="WenQuanYi Zen Hei"/>
        <family val="2"/>
      </rPr>
      <t xml:space="preserve">注册即表示您同意 </t>
    </r>
    <r>
      <rPr>
        <sz val="10"/>
        <rFont val="Arial"/>
        <family val="0"/>
        <charset val="1"/>
      </rPr>
      <t xml:space="preserve">Gray Matter Solutions Pte Ltd </t>
    </r>
    <r>
      <rPr>
        <sz val="10"/>
        <rFont val="WenQuanYi Zen Hei"/>
        <family val="2"/>
      </rPr>
      <t xml:space="preserve">及其关联公司和／或第三方服务供应商收集、储存、处理和／或披露您的个人资料，用于向您发送评估结果、电子邮件通讯（</t>
    </r>
    <r>
      <rPr>
        <sz val="10"/>
        <rFont val="Arial"/>
        <family val="0"/>
        <charset val="1"/>
      </rPr>
      <t xml:space="preserve">EDM</t>
    </r>
    <r>
      <rPr>
        <sz val="10"/>
        <rFont val="WenQuanYi Zen Hei"/>
        <family val="2"/>
      </rPr>
      <t xml:space="preserve">）、新闻通讯，以及由我方举办的讲座与活动邀请。您可随时点击邮件页脚的链接取消订阅。有关我们隐私做法的更多信息，请参阅我们的</t>
    </r>
  </si>
  <si>
    <t xml:space="preserve">Fragment: followed directly by the policy name.</t>
  </si>
  <si>
    <t xml:space="preserve">Paragraph 1 — policy name (link)</t>
  </si>
  <si>
    <t xml:space="preserve">Privacy Policy</t>
  </si>
  <si>
    <t xml:space="preserve">隐私政策</t>
  </si>
  <si>
    <t xml:space="preserve">Fragment: underlined, as a link.</t>
  </si>
  <si>
    <t xml:space="preserve">Paragraph 1 — end</t>
  </si>
  <si>
    <t xml:space="preserve">.</t>
  </si>
  <si>
    <t xml:space="preserve">。</t>
  </si>
  <si>
    <t xml:space="preserve">Fragment: closes paragraph 1.</t>
  </si>
  <si>
    <t xml:space="preserve">Paragraph 2 — Mailchimp notice</t>
  </si>
  <si>
    <t xml:space="preserve">We use Mailchimp as our marketing platform. By registering you acknowledge that your information will be transferred to Mailchimp for processing.</t>
  </si>
  <si>
    <r>
      <rPr>
        <sz val="10"/>
        <rFont val="WenQuanYi Zen Hei"/>
        <family val="2"/>
      </rPr>
      <t xml:space="preserve">我们使用 </t>
    </r>
    <r>
      <rPr>
        <sz val="10"/>
        <rFont val="Arial"/>
        <family val="0"/>
        <charset val="1"/>
      </rPr>
      <t xml:space="preserve">Mailchimp </t>
    </r>
    <r>
      <rPr>
        <sz val="10"/>
        <rFont val="WenQuanYi Zen Hei"/>
        <family val="2"/>
      </rPr>
      <t xml:space="preserve">作为营销平台。注册即表示您了解您的信息将传输至 </t>
    </r>
    <r>
      <rPr>
        <sz val="10"/>
        <rFont val="Arial"/>
        <family val="0"/>
        <charset val="1"/>
      </rPr>
      <t xml:space="preserve">Mailchimp </t>
    </r>
    <r>
      <rPr>
        <sz val="10"/>
        <rFont val="WenQuanYi Zen Hei"/>
        <family val="2"/>
      </rPr>
      <t xml:space="preserve">进行处理。</t>
    </r>
  </si>
  <si>
    <t xml:space="preserve">P4</t>
  </si>
  <si>
    <t xml:space="preserve">Paragraph 3 — IHH withdrawal note, as shown</t>
  </si>
  <si>
    <t xml:space="preserve">I understand that I may withdraw such consent at any time via unsubscribe facilities OR forms available on request from our staff OR by email to IHH Healthcare Singapore DPO at pdpo@ihhhealthcare.com</t>
  </si>
  <si>
    <r>
      <rPr>
        <i val="true"/>
        <sz val="10"/>
        <color rgb="FF595959"/>
        <rFont val="WenQuanYi Zen Hei"/>
        <family val="2"/>
      </rPr>
      <t xml:space="preserve">本人明白，本人可随时通过取消订阅功能，或填写可向我们职员索取的表格，或发送电子邮件至 </t>
    </r>
    <r>
      <rPr>
        <i val="true"/>
        <sz val="10"/>
        <color rgb="FF595959"/>
        <rFont val="Arial"/>
        <family val="0"/>
        <charset val="1"/>
      </rPr>
      <t xml:space="preserve">IHH Healthcare Singapore </t>
    </r>
    <r>
      <rPr>
        <i val="true"/>
        <sz val="10"/>
        <color rgb="FF595959"/>
        <rFont val="WenQuanYi Zen Hei"/>
        <family val="2"/>
      </rPr>
      <t xml:space="preserve">资料保护官（</t>
    </r>
    <r>
      <rPr>
        <i val="true"/>
        <sz val="10"/>
        <color rgb="FF595959"/>
        <rFont val="Arial"/>
        <family val="0"/>
        <charset val="1"/>
      </rPr>
      <t xml:space="preserve">DPO</t>
    </r>
    <r>
      <rPr>
        <i val="true"/>
        <sz val="10"/>
        <color rgb="FF595959"/>
        <rFont val="WenQuanYi Zen Hei"/>
        <family val="2"/>
      </rPr>
      <t xml:space="preserve">），撤回上述同意。电子邮件地址：</t>
    </r>
    <r>
      <rPr>
        <i val="true"/>
        <sz val="10"/>
        <color rgb="FF595959"/>
        <rFont val="Arial"/>
        <family val="0"/>
        <charset val="1"/>
      </rPr>
      <t xml:space="preserve">pdpo@ihhhealthcare.com</t>
    </r>
  </si>
  <si>
    <t xml:space="preserve">LEGAL TEXT (IHH): must say exactly what the English says. See How to use. Preview only: the row below with the email address added.</t>
  </si>
  <si>
    <t xml:space="preserve">Paragraph 3 — IHH withdrawal note</t>
  </si>
  <si>
    <t xml:space="preserve">I understand that I may withdraw such consent at any time via unsubscribe facilities OR forms available on request from our staff OR by email to IHH Healthcare Singapore DPO at </t>
  </si>
  <si>
    <r>
      <rPr>
        <sz val="10"/>
        <rFont val="WenQuanYi Zen Hei"/>
        <family val="2"/>
      </rPr>
      <t xml:space="preserve">本人明白，本人可随时通过取消订阅功能，或填写可向我们职员索取的表格，或发送电子邮件至 </t>
    </r>
    <r>
      <rPr>
        <sz val="10"/>
        <rFont val="Arial"/>
        <family val="0"/>
        <charset val="1"/>
      </rPr>
      <t xml:space="preserve">IHH Healthcare Singapore </t>
    </r>
    <r>
      <rPr>
        <sz val="10"/>
        <rFont val="WenQuanYi Zen Hei"/>
        <family val="2"/>
      </rPr>
      <t xml:space="preserve">资料保护官（</t>
    </r>
    <r>
      <rPr>
        <sz val="10"/>
        <rFont val="Arial"/>
        <family val="0"/>
        <charset val="1"/>
      </rPr>
      <t xml:space="preserve">DPO</t>
    </r>
    <r>
      <rPr>
        <sz val="10"/>
        <rFont val="WenQuanYi Zen Hei"/>
        <family val="2"/>
      </rPr>
      <t xml:space="preserve">），撤回上述同意。电子邮件地址：</t>
    </r>
  </si>
  <si>
    <t xml:space="preserve">LEGAL TEXT (IHH): must say exactly what the English says. See How to use. The sentence ends on IHH's DPO email address (pdpo@ihhhealthcare.com), which the page adds as a link.</t>
  </si>
  <si>
    <t xml:space="preserve">P5</t>
  </si>
  <si>
    <t xml:space="preserve">Trust band (bottom)</t>
  </si>
  <si>
    <t xml:space="preserve">Trust line, as shown</t>
  </si>
  <si>
    <t xml:space="preserve">Based on the 2024 Lancet Commission risk model and the CAIDE dementia risk score.</t>
  </si>
  <si>
    <r>
      <rPr>
        <i val="true"/>
        <sz val="10"/>
        <color rgb="FF595959"/>
        <rFont val="WenQuanYi Zen Hei"/>
        <family val="2"/>
      </rPr>
      <t xml:space="preserve">基于 </t>
    </r>
    <r>
      <rPr>
        <i val="true"/>
        <sz val="10"/>
        <color rgb="FF595959"/>
        <rFont val="Arial"/>
        <family val="0"/>
        <charset val="1"/>
      </rPr>
      <t xml:space="preserve">2024 </t>
    </r>
    <r>
      <rPr>
        <i val="true"/>
        <sz val="10"/>
        <color rgb="FF595959"/>
        <rFont val="WenQuanYi Zen Hei"/>
        <family val="2"/>
      </rPr>
      <t xml:space="preserve">年《柳叶刀》委员会 风险模型与 </t>
    </r>
    <r>
      <rPr>
        <i val="true"/>
        <sz val="10"/>
        <color rgb="FF595959"/>
        <rFont val="Arial"/>
        <family val="0"/>
        <charset val="1"/>
      </rPr>
      <t xml:space="preserve">CAIDE </t>
    </r>
    <r>
      <rPr>
        <i val="true"/>
        <sz val="10"/>
        <color rgb="FF595959"/>
        <rFont val="WenQuanYi Zen Hei"/>
        <family val="2"/>
      </rPr>
      <t xml:space="preserve">痴呆症风险评分。</t>
    </r>
  </si>
  <si>
    <t xml:space="preserve">Preview only: the five rows below joined. Bold parts: trustStrong1 and trustStrong2.</t>
  </si>
  <si>
    <t xml:space="preserve">Trust line — start</t>
  </si>
  <si>
    <t xml:space="preserve">Based on the </t>
  </si>
  <si>
    <t xml:space="preserve">基于 </t>
  </si>
  <si>
    <t xml:space="preserve">Fragment.</t>
  </si>
  <si>
    <t xml:space="preserve">Trust line — bold part 1</t>
  </si>
  <si>
    <t xml:space="preserve">2024 Lancet Commission</t>
  </si>
  <si>
    <r>
      <rPr>
        <sz val="10"/>
        <rFont val="Arial"/>
        <family val="0"/>
        <charset val="1"/>
      </rPr>
      <t xml:space="preserve">2024 </t>
    </r>
    <r>
      <rPr>
        <sz val="10"/>
        <rFont val="WenQuanYi Zen Hei"/>
        <family val="2"/>
      </rPr>
      <t xml:space="preserve">年《柳叶刀》委员会</t>
    </r>
  </si>
  <si>
    <t xml:space="preserve">Fragment, in bold.</t>
  </si>
  <si>
    <t xml:space="preserve">Trust line — middle</t>
  </si>
  <si>
    <t xml:space="preserve"> risk model and the </t>
  </si>
  <si>
    <t xml:space="preserve"> 风险模型与 </t>
  </si>
  <si>
    <t xml:space="preserve">Trust line — bold part 2</t>
  </si>
  <si>
    <t xml:space="preserve">CAIDE dementia risk score</t>
  </si>
  <si>
    <r>
      <rPr>
        <sz val="10"/>
        <rFont val="Arial"/>
        <family val="0"/>
        <charset val="1"/>
      </rPr>
      <t xml:space="preserve">CAIDE </t>
    </r>
    <r>
      <rPr>
        <sz val="10"/>
        <rFont val="WenQuanYi Zen Hei"/>
        <family val="2"/>
      </rPr>
      <t xml:space="preserve">痴呆症风险评分</t>
    </r>
  </si>
  <si>
    <t xml:space="preserve">Trust line — end</t>
  </si>
  <si>
    <t xml:space="preserve">What happens next | ReCOGnAIze</t>
  </si>
  <si>
    <r>
      <rPr>
        <sz val="10"/>
        <rFont val="WenQuanYi Zen Hei"/>
        <family val="2"/>
      </rPr>
      <t xml:space="preserve">接下来会发生什么 </t>
    </r>
    <r>
      <rPr>
        <sz val="10"/>
        <rFont val="Arial"/>
        <family val="0"/>
        <charset val="1"/>
      </rPr>
      <t xml:space="preserve">| ReCOGnAIze</t>
    </r>
  </si>
  <si>
    <t xml:space="preserve">P6</t>
  </si>
  <si>
    <t xml:space="preserve">Heading, as shown</t>
  </si>
  <si>
    <t xml:space="preserve">In the next 3 mins</t>
  </si>
  <si>
    <r>
      <rPr>
        <i val="true"/>
        <sz val="10"/>
        <color rgb="FF595959"/>
        <rFont val="WenQuanYi Zen Hei"/>
        <family val="2"/>
      </rPr>
      <t xml:space="preserve">接下来的 </t>
    </r>
    <r>
      <rPr>
        <i val="true"/>
        <sz val="10"/>
        <color rgb="FF595959"/>
        <rFont val="Arial"/>
        <family val="0"/>
        <charset val="1"/>
      </rPr>
      <t xml:space="preserve">3 </t>
    </r>
    <r>
      <rPr>
        <i val="true"/>
        <sz val="10"/>
        <color rgb="FF595959"/>
        <rFont val="WenQuanYi Zen Hei"/>
        <family val="2"/>
      </rPr>
      <t xml:space="preserve">分钟</t>
    </r>
  </si>
  <si>
    <t xml:space="preserve">Preview only. The two rows below are set side by side, the second one larger.</t>
  </si>
  <si>
    <t xml:space="preserve">Heading — first part</t>
  </si>
  <si>
    <t xml:space="preserve">In the next</t>
  </si>
  <si>
    <t xml:space="preserve">接下来的</t>
  </si>
  <si>
    <t xml:space="preserve">Heading — duration (large)</t>
  </si>
  <si>
    <t xml:space="preserve">3 mins</t>
  </si>
  <si>
    <r>
      <rPr>
        <sz val="10"/>
        <rFont val="Arial"/>
        <family val="0"/>
        <charset val="1"/>
      </rPr>
      <t xml:space="preserve">3 </t>
    </r>
    <r>
      <rPr>
        <sz val="10"/>
        <rFont val="WenQuanYi Zen Hei"/>
        <family val="2"/>
      </rPr>
      <t xml:space="preserve">分钟</t>
    </r>
  </si>
  <si>
    <t xml:space="preserve">Step 1</t>
  </si>
  <si>
    <t xml:space="preserve">Play a 60-second cognitive game</t>
  </si>
  <si>
    <r>
      <rPr>
        <sz val="10"/>
        <rFont val="WenQuanYi Zen Hei"/>
        <family val="2"/>
      </rPr>
      <t xml:space="preserve">玩一个 </t>
    </r>
    <r>
      <rPr>
        <sz val="10"/>
        <rFont val="Arial"/>
        <family val="0"/>
        <charset val="1"/>
      </rPr>
      <t xml:space="preserve">60 </t>
    </r>
    <r>
      <rPr>
        <sz val="10"/>
        <rFont val="WenQuanYi Zen Hei"/>
        <family val="2"/>
      </rPr>
      <t xml:space="preserve">秒的认知小游戏</t>
    </r>
  </si>
  <si>
    <t xml:space="preserve">Step 2</t>
  </si>
  <si>
    <t xml:space="preserve">Take a medically-backed quiz on brain health risk factors</t>
  </si>
  <si>
    <t xml:space="preserve">完成一份有医学依据的脑健康风险因素问卷</t>
  </si>
  <si>
    <t xml:space="preserve">Step 3</t>
  </si>
  <si>
    <t xml:space="preserve">See how you compare to people your age</t>
  </si>
  <si>
    <t xml:space="preserve">看看您与同龄人相比表现如何</t>
  </si>
  <si>
    <t xml:space="preserve">Step 2 picture — top label</t>
  </si>
  <si>
    <t xml:space="preserve">Several times</t>
  </si>
  <si>
    <t xml:space="preserve">每周数次</t>
  </si>
  <si>
    <t xml:space="preserve">Tiny label (8.5px) on a sample answer scale. Keep it short.</t>
  </si>
  <si>
    <t xml:space="preserve">Step 2 picture — bottom label</t>
  </si>
  <si>
    <t xml:space="preserve">Not that noticeable</t>
  </si>
  <si>
    <t xml:space="preserve">没有察觉</t>
  </si>
  <si>
    <t xml:space="preserve">Step 3 picture — left label</t>
  </si>
  <si>
    <t xml:space="preserve">Weak</t>
  </si>
  <si>
    <t xml:space="preserve">偏弱</t>
  </si>
  <si>
    <t xml:space="preserve">Tiny label on a sample bell curve. Keep it to one short word.</t>
  </si>
  <si>
    <t xml:space="preserve">Step 3 picture — right label</t>
  </si>
  <si>
    <t xml:space="preserve">Adequate</t>
  </si>
  <si>
    <t xml:space="preserve">良好</t>
  </si>
  <si>
    <t xml:space="preserve">Line above the closing (italic)</t>
  </si>
  <si>
    <t xml:space="preserve">And most importantly,</t>
  </si>
  <si>
    <t xml:space="preserve">而最重要的是，</t>
  </si>
  <si>
    <t xml:space="preserve">Closing line (large)</t>
  </si>
  <si>
    <t xml:space="preserve">Learn how you can improve</t>
  </si>
  <si>
    <t xml:space="preserve">了解如何改善</t>
  </si>
  <si>
    <t xml:space="preserve">I'm ready!</t>
  </si>
  <si>
    <t xml:space="preserve">我准备好了！</t>
  </si>
  <si>
    <t xml:space="preserve">Reaction time challenge | ReCOGnAIze</t>
  </si>
  <si>
    <r>
      <rPr>
        <sz val="10"/>
        <rFont val="WenQuanYi Zen Hei"/>
        <family val="2"/>
      </rPr>
      <t xml:space="preserve">反应速度挑战 </t>
    </r>
    <r>
      <rPr>
        <sz val="10"/>
        <rFont val="Arial"/>
        <family val="0"/>
        <charset val="1"/>
      </rPr>
      <t xml:space="preserve">| ReCOGnAIze</t>
    </r>
  </si>
  <si>
    <t xml:space="preserve">Step label (small caps)</t>
  </si>
  <si>
    <t xml:space="preserve">Step 1 of 3</t>
  </si>
  <si>
    <r>
      <rPr>
        <sz val="10"/>
        <rFont val="WenQuanYi Zen Hei"/>
        <family val="2"/>
      </rPr>
      <t xml:space="preserve">第 </t>
    </r>
    <r>
      <rPr>
        <sz val="10"/>
        <rFont val="Arial"/>
        <family val="0"/>
        <charset val="1"/>
      </rPr>
      <t xml:space="preserve">1 </t>
    </r>
    <r>
      <rPr>
        <sz val="10"/>
        <rFont val="WenQuanYi Zen Hei"/>
        <family val="2"/>
      </rPr>
      <t xml:space="preserve">步，共 </t>
    </r>
    <r>
      <rPr>
        <sz val="10"/>
        <rFont val="Arial"/>
        <family val="0"/>
        <charset val="1"/>
      </rPr>
      <t xml:space="preserve">3 </t>
    </r>
    <r>
      <rPr>
        <sz val="10"/>
        <rFont val="WenQuanYi Zen Hei"/>
        <family val="2"/>
      </rPr>
      <t xml:space="preserve">步</t>
    </r>
  </si>
  <si>
    <t xml:space="preserve">Heading</t>
  </si>
  <si>
    <t xml:space="preserve">Reaction time challenge</t>
  </si>
  <si>
    <t xml:space="preserve">反应速度挑战</t>
  </si>
  <si>
    <t xml:space="preserve">P7</t>
  </si>
  <si>
    <t xml:space="preserve">Body, as shown</t>
  </si>
  <si>
    <t xml:space="preserve">How fast does your brain process? Match as many symbols to their numbers as you can in 60 seconds.</t>
  </si>
  <si>
    <r>
      <rPr>
        <i val="true"/>
        <sz val="10"/>
        <color rgb="FF595959"/>
        <rFont val="WenQuanYi Zen Hei"/>
        <family val="2"/>
      </rPr>
      <t xml:space="preserve">您的大脑处理信息有多快？在 </t>
    </r>
    <r>
      <rPr>
        <i val="true"/>
        <sz val="10"/>
        <color rgb="FF595959"/>
        <rFont val="Arial"/>
        <family val="0"/>
        <charset val="1"/>
      </rPr>
      <t xml:space="preserve">60 </t>
    </r>
    <r>
      <rPr>
        <i val="true"/>
        <sz val="10"/>
        <color rgb="FF595959"/>
        <rFont val="WenQuanYi Zen Hei"/>
        <family val="2"/>
      </rPr>
      <t xml:space="preserve">秒内尽可能多地把符号与对应的数字配对。</t>
    </r>
  </si>
  <si>
    <t xml:space="preserve">Preview only: the three rows below joined. The middle word is bold.</t>
  </si>
  <si>
    <t xml:space="preserve">Body — start</t>
  </si>
  <si>
    <t xml:space="preserve">How </t>
  </si>
  <si>
    <t xml:space="preserve">您的大脑处理信息有</t>
  </si>
  <si>
    <t xml:space="preserve">Body — bold word</t>
  </si>
  <si>
    <t xml:space="preserve">fast</t>
  </si>
  <si>
    <t xml:space="preserve">多快</t>
  </si>
  <si>
    <t xml:space="preserve">Body — end</t>
  </si>
  <si>
    <t xml:space="preserve"> does your brain process? Match as many symbols to their numbers as you can in 60 seconds.</t>
  </si>
  <si>
    <r>
      <rPr>
        <sz val="10"/>
        <rFont val="WenQuanYi Zen Hei"/>
        <family val="2"/>
      </rPr>
      <t xml:space="preserve">？在 </t>
    </r>
    <r>
      <rPr>
        <sz val="10"/>
        <rFont val="Arial"/>
        <family val="0"/>
        <charset val="1"/>
      </rPr>
      <t xml:space="preserve">60 </t>
    </r>
    <r>
      <rPr>
        <sz val="10"/>
        <rFont val="WenQuanYi Zen Hei"/>
        <family val="2"/>
      </rPr>
      <t xml:space="preserve">秒内尽可能多地把符号与对应的数字配对。</t>
    </r>
  </si>
  <si>
    <t xml:space="preserve">Badge on the self-playing demo</t>
  </si>
  <si>
    <t xml:space="preserve">Demo · plays itself</t>
  </si>
  <si>
    <r>
      <rPr>
        <sz val="10"/>
        <rFont val="WenQuanYi Zen Hei"/>
        <family val="2"/>
      </rPr>
      <t xml:space="preserve">演示 </t>
    </r>
    <r>
      <rPr>
        <sz val="10"/>
        <rFont val="Arial"/>
        <family val="0"/>
        <charset val="1"/>
      </rPr>
      <t xml:space="preserve">· </t>
    </r>
    <r>
      <rPr>
        <sz val="10"/>
        <rFont val="WenQuanYi Zen Hei"/>
        <family val="2"/>
      </rPr>
      <t xml:space="preserve">自动播放</t>
    </r>
  </si>
  <si>
    <t xml:space="preserve">Start tutorial</t>
  </si>
  <si>
    <t xml:space="preserve">开始教程</t>
  </si>
  <si>
    <t xml:space="preserve">Tutorial (/symbol-matching/demo)</t>
  </si>
  <si>
    <t xml:space="preserve">"Demo" badge</t>
  </si>
  <si>
    <t xml:space="preserve">Demo</t>
  </si>
  <si>
    <t xml:space="preserve">演示</t>
  </si>
  <si>
    <t xml:space="preserve">Score label</t>
  </si>
  <si>
    <t xml:space="preserve">Score:</t>
  </si>
  <si>
    <r>
      <rPr>
        <sz val="10"/>
        <rFont val="WenQuanYi Zen Hei"/>
        <family val="2"/>
      </rPr>
      <t xml:space="preserve">分数</t>
    </r>
    <r>
      <rPr>
        <sz val="10"/>
        <rFont val="Arial"/>
        <family val="0"/>
        <charset val="1"/>
      </rPr>
      <t xml:space="preserve">:</t>
    </r>
  </si>
  <si>
    <t xml:space="preserve">Followed by the score. Also shown during the real game.</t>
  </si>
  <si>
    <t xml:space="preserve">Tutorial step 1</t>
  </si>
  <si>
    <t xml:space="preserve">Focus on the symbol at the top of the screen.</t>
  </si>
  <si>
    <t xml:space="preserve">专注于屏幕顶部的符号。</t>
  </si>
  <si>
    <t xml:space="preserve">Tutorial step 2</t>
  </si>
  <si>
    <t xml:space="preserve">Look for the matching symbol and its number. Here, it is 7.</t>
  </si>
  <si>
    <r>
      <rPr>
        <sz val="10"/>
        <rFont val="WenQuanYi Zen Hei"/>
        <family val="2"/>
      </rPr>
      <t xml:space="preserve">寻找匹配的符号及其数字。在这里，是</t>
    </r>
    <r>
      <rPr>
        <sz val="10"/>
        <rFont val="Arial"/>
        <family val="0"/>
        <charset val="1"/>
      </rPr>
      <t xml:space="preserve">7</t>
    </r>
    <r>
      <rPr>
        <sz val="10"/>
        <rFont val="WenQuanYi Zen Hei"/>
        <family val="2"/>
      </rPr>
      <t xml:space="preserve">。</t>
    </r>
  </si>
  <si>
    <t xml:space="preserve">Tutorial step 3 (phone / tablet)</t>
  </si>
  <si>
    <t xml:space="preserve">Screens narrower than 1024px (phones, most tablets)</t>
  </si>
  <si>
    <t xml:space="preserve">Tap “7” in the number pad below.</t>
  </si>
  <si>
    <r>
      <rPr>
        <sz val="10"/>
        <rFont val="WenQuanYi Zen Hei"/>
        <family val="2"/>
      </rPr>
      <t xml:space="preserve">点击下方数字键盘中的</t>
    </r>
    <r>
      <rPr>
        <sz val="10"/>
        <rFont val="Arial"/>
        <family val="0"/>
        <charset val="1"/>
      </rPr>
      <t xml:space="preserve">"7"</t>
    </r>
    <r>
      <rPr>
        <sz val="10"/>
        <rFont val="WenQuanYi Zen Hei"/>
        <family val="2"/>
      </rPr>
      <t xml:space="preserve">。</t>
    </r>
  </si>
  <si>
    <t xml:space="preserve">Tutorial step 3 (computer)</t>
  </si>
  <si>
    <t xml:space="preserve">Screens 1024px and wider</t>
  </si>
  <si>
    <t xml:space="preserve">Click No. 7 on the number pad or type “7” on your keyboard</t>
  </si>
  <si>
    <r>
      <rPr>
        <sz val="10"/>
        <rFont val="WenQuanYi Zen Hei"/>
        <family val="2"/>
      </rPr>
      <t xml:space="preserve">点击数字键盘上的第</t>
    </r>
    <r>
      <rPr>
        <sz val="10"/>
        <rFont val="Arial"/>
        <family val="0"/>
        <charset val="1"/>
      </rPr>
      <t xml:space="preserve">7</t>
    </r>
    <r>
      <rPr>
        <sz val="10"/>
        <rFont val="WenQuanYi Zen Hei"/>
        <family val="2"/>
      </rPr>
      <t xml:space="preserve">号或在键盘上输入</t>
    </r>
    <r>
      <rPr>
        <sz val="10"/>
        <rFont val="Arial"/>
        <family val="0"/>
        <charset val="1"/>
      </rPr>
      <t xml:space="preserve">"7"</t>
    </r>
    <r>
      <rPr>
        <sz val="10"/>
        <rFont val="WenQuanYi Zen Hei"/>
        <family val="2"/>
      </rPr>
      <t xml:space="preserve">。</t>
    </r>
  </si>
  <si>
    <t xml:space="preserve">Tutorial step 4</t>
  </si>
  <si>
    <t xml:space="preserve">Be careful, the order of the symbols will change after every turn.</t>
  </si>
  <si>
    <t xml:space="preserve">请注意，符号的顺序在每轮后都会改变。</t>
  </si>
  <si>
    <t xml:space="preserve">Tutorial step 5</t>
  </si>
  <si>
    <t xml:space="preserve">Now try out the next 3 rounds by yourself!</t>
  </si>
  <si>
    <r>
      <rPr>
        <sz val="10"/>
        <rFont val="WenQuanYi Zen Hei"/>
        <family val="2"/>
      </rPr>
      <t xml:space="preserve">现在自己尝试接下来的</t>
    </r>
    <r>
      <rPr>
        <sz val="10"/>
        <rFont val="Arial"/>
        <family val="0"/>
        <charset val="1"/>
      </rPr>
      <t xml:space="preserve">3</t>
    </r>
    <r>
      <rPr>
        <sz val="10"/>
        <rFont val="WenQuanYi Zen Hei"/>
        <family val="2"/>
      </rPr>
      <t xml:space="preserve">轮！</t>
    </r>
  </si>
  <si>
    <t xml:space="preserve">Tutorial button — back</t>
  </si>
  <si>
    <t xml:space="preserve">Tutorial steps 2 and 5</t>
  </si>
  <si>
    <t xml:space="preserve">Previous</t>
  </si>
  <si>
    <t xml:space="preserve">上一步</t>
  </si>
  <si>
    <t xml:space="preserve">Tutorial button — forward</t>
  </si>
  <si>
    <t xml:space="preserve">Tutorial steps 1, 2 and 4</t>
  </si>
  <si>
    <t xml:space="preserve">Next</t>
  </si>
  <si>
    <t xml:space="preserve">下一步</t>
  </si>
  <si>
    <t xml:space="preserve">Tutorial button — start practice rounds</t>
  </si>
  <si>
    <t xml:space="preserve">Start demo</t>
  </si>
  <si>
    <t xml:space="preserve">开始演示</t>
  </si>
  <si>
    <t xml:space="preserve">After the practice rounds</t>
  </si>
  <si>
    <t xml:space="preserve">Message</t>
  </si>
  <si>
    <t xml:space="preserve">Great!
Now it’s time to take the actual test.</t>
  </si>
  <si>
    <t xml:space="preserve">现在是进行正式测试的时候了。</t>
  </si>
  <si>
    <t xml:space="preserve">English is two lines ("Great!" then the sentence). The Chinese leaves out "Great!".</t>
  </si>
  <si>
    <t xml:space="preserve">Button — start the real game</t>
  </si>
  <si>
    <t xml:space="preserve">Start test</t>
  </si>
  <si>
    <t xml:space="preserve">开始测试</t>
  </si>
  <si>
    <t xml:space="preserve">Button — repeat the practice</t>
  </si>
  <si>
    <t xml:space="preserve">Try again</t>
  </si>
  <si>
    <t xml:space="preserve">再试一次</t>
  </si>
  <si>
    <t xml:space="preserve">Countdown (before the real game)</t>
  </si>
  <si>
    <t xml:space="preserve">Countdown title</t>
  </si>
  <si>
    <t xml:space="preserve">Countdown subtitle</t>
  </si>
  <si>
    <t xml:space="preserve">Match as many symbols to their numbers</t>
  </si>
  <si>
    <t xml:space="preserve">把符号与对应的数字配对</t>
  </si>
  <si>
    <t xml:space="preserve">Right after the game (saving screen)</t>
  </si>
  <si>
    <t xml:space="preserve">Saving message</t>
  </si>
  <si>
    <t xml:space="preserve">Saving your result, please wait.</t>
  </si>
  <si>
    <t xml:space="preserve">正在保存您的结果，请稍候。</t>
  </si>
  <si>
    <t xml:space="preserve">Error heading</t>
  </si>
  <si>
    <t xml:space="preserve">Only if saving the result fails</t>
  </si>
  <si>
    <t xml:space="preserve">Error saving your result.</t>
  </si>
  <si>
    <t xml:space="preserve">保存结果时出错。</t>
  </si>
  <si>
    <t xml:space="preserve">Error message</t>
  </si>
  <si>
    <t xml:space="preserve">Please check your internet connection and try again.</t>
  </si>
  <si>
    <t xml:space="preserve">请检查您的网络连接后重试。</t>
  </si>
  <si>
    <t xml:space="preserve">Retry button</t>
  </si>
  <si>
    <t xml:space="preserve">RETRY</t>
  </si>
  <si>
    <t xml:space="preserve">重试</t>
  </si>
  <si>
    <t xml:space="preserve">Button text; English is in capitals.</t>
  </si>
  <si>
    <t xml:space="preserve">Done heading</t>
  </si>
  <si>
    <t xml:space="preserve">Flashes for a moment before the next screen</t>
  </si>
  <si>
    <t xml:space="preserve">Assessment Complete</t>
  </si>
  <si>
    <t xml:space="preserve">评估完成</t>
  </si>
  <si>
    <t xml:space="preserve">Done message</t>
  </si>
  <si>
    <t xml:space="preserve">Your report is ready to view.</t>
  </si>
  <si>
    <t xml:space="preserve">您的报告已准备就绪。</t>
  </si>
  <si>
    <t xml:space="preserve">Done button</t>
  </si>
  <si>
    <t xml:space="preserve">View report</t>
  </si>
  <si>
    <t xml:space="preserve">查看报告</t>
  </si>
  <si>
    <t xml:space="preserve">Rare screens (English only today)</t>
  </si>
  <si>
    <t xml:space="preserve">Rare: reopening the game after it's already been played</t>
  </si>
  <si>
    <t xml:space="preserve">You've completed this game</t>
  </si>
  <si>
    <t xml:space="preserve">Hardcoded in English, so it shows in English whatever language was picked. Mark Change needed if it should be translated.</t>
  </si>
  <si>
    <t xml:space="preserve">Go Home</t>
  </si>
  <si>
    <t xml:space="preserve">Rare: opening the game page out of order</t>
  </si>
  <si>
    <t xml:space="preserve">Looking for something? 🔍</t>
  </si>
  <si>
    <t xml:space="preserve">Please finish the previous games before starting a new one!</t>
  </si>
  <si>
    <t xml:space="preserve">Game complete | ReCOGnAIze</t>
  </si>
  <si>
    <r>
      <rPr>
        <sz val="10"/>
        <rFont val="WenQuanYi Zen Hei"/>
        <family val="2"/>
      </rPr>
      <t xml:space="preserve">游戏完成 </t>
    </r>
    <r>
      <rPr>
        <sz val="10"/>
        <rFont val="Arial"/>
        <family val="0"/>
        <charset val="1"/>
      </rPr>
      <t xml:space="preserve">| ReCOGnAIze</t>
    </r>
  </si>
  <si>
    <t xml:space="preserve">Badge</t>
  </si>
  <si>
    <t xml:space="preserve">1 | Cognitive Game</t>
  </si>
  <si>
    <r>
      <rPr>
        <sz val="10"/>
        <rFont val="Arial"/>
        <family val="0"/>
        <charset val="1"/>
      </rPr>
      <t xml:space="preserve">1 | </t>
    </r>
    <r>
      <rPr>
        <sz val="10"/>
        <rFont val="WenQuanYi Zen Hei"/>
        <family val="2"/>
      </rPr>
      <t xml:space="preserve">认知游戏</t>
    </r>
  </si>
  <si>
    <t xml:space="preserve">Game complete!</t>
  </si>
  <si>
    <t xml:space="preserve">游戏完成！</t>
  </si>
  <si>
    <t xml:space="preserve">P8</t>
  </si>
  <si>
    <t xml:space="preserve">Score line, as shown</t>
  </si>
  <si>
    <t xml:space="preserve">Correct symbols: 18</t>
  </si>
  <si>
    <r>
      <rPr>
        <i val="true"/>
        <sz val="10"/>
        <color rgb="FF595959"/>
        <rFont val="WenQuanYi Zen Hei"/>
        <family val="2"/>
      </rPr>
      <t xml:space="preserve">正确配对： </t>
    </r>
    <r>
      <rPr>
        <i val="true"/>
        <sz val="10"/>
        <color rgb="FF595959"/>
        <rFont val="Arial"/>
        <family val="0"/>
        <charset val="1"/>
      </rPr>
      <t xml:space="preserve">18</t>
    </r>
  </si>
  <si>
    <t xml:space="preserve">Preview only, with a sample score of 18. The page always puts a space before the number.</t>
  </si>
  <si>
    <t xml:space="preserve">Correct symbols:</t>
  </si>
  <si>
    <t xml:space="preserve">正确配对：</t>
  </si>
  <si>
    <t xml:space="preserve">Followed by a space and the number of correct symbols.</t>
  </si>
  <si>
    <t xml:space="preserve">"Next" label (small caps)</t>
  </si>
  <si>
    <t xml:space="preserve">接下来</t>
  </si>
  <si>
    <t xml:space="preserve">What's next</t>
  </si>
  <si>
    <t xml:space="preserve">Continue</t>
  </si>
  <si>
    <t xml:space="preserve">继续</t>
  </si>
  <si>
    <t xml:space="preserve">Around the questions</t>
  </si>
  <si>
    <t xml:space="preserve">Brain Health Quiz | ReCOGnAIze</t>
  </si>
  <si>
    <r>
      <rPr>
        <sz val="10"/>
        <rFont val="WenQuanYi Zen Hei"/>
        <family val="2"/>
      </rPr>
      <t xml:space="preserve">脑健康问卷 </t>
    </r>
    <r>
      <rPr>
        <sz val="10"/>
        <rFont val="Arial"/>
        <family val="0"/>
        <charset val="1"/>
      </rPr>
      <t xml:space="preserve">| ReCOGnAIze</t>
    </r>
  </si>
  <si>
    <t xml:space="preserve">Progress label</t>
  </si>
  <si>
    <t xml:space="preserve">Question {current} of {total}</t>
  </si>
  <si>
    <r>
      <rPr>
        <sz val="10"/>
        <rFont val="WenQuanYi Zen Hei"/>
        <family val="2"/>
      </rPr>
      <t xml:space="preserve">第 </t>
    </r>
    <r>
      <rPr>
        <sz val="10"/>
        <rFont val="Arial"/>
        <family val="0"/>
        <charset val="1"/>
      </rPr>
      <t xml:space="preserve">{current} </t>
    </r>
    <r>
      <rPr>
        <sz val="10"/>
        <rFont val="WenQuanYi Zen Hei"/>
        <family val="2"/>
      </rPr>
      <t xml:space="preserve">题，共 </t>
    </r>
    <r>
      <rPr>
        <sz val="10"/>
        <rFont val="Arial"/>
        <family val="0"/>
        <charset val="1"/>
      </rPr>
      <t xml:space="preserve">{total} </t>
    </r>
    <r>
      <rPr>
        <sz val="10"/>
        <rFont val="WenQuanYi Zen Hei"/>
        <family val="2"/>
      </rPr>
      <t xml:space="preserve">题</t>
    </r>
  </si>
  <si>
    <t xml:space="preserve">Keep {current} and {total} exactly as written: they become numbers.</t>
  </si>
  <si>
    <t xml:space="preserve">Back button</t>
  </si>
  <si>
    <t xml:space="preserve">← Back</t>
  </si>
  <si>
    <t xml:space="preserve">← 返回</t>
  </si>
  <si>
    <t xml:space="preserve">Continue button</t>
  </si>
  <si>
    <t xml:space="preserve">Shown after the last answer</t>
  </si>
  <si>
    <t xml:space="preserve">Preparing your result…</t>
  </si>
  <si>
    <t xml:space="preserve">正在生成您的结果…</t>
  </si>
  <si>
    <t xml:space="preserve">Flashes briefly while the result is prepared.</t>
  </si>
  <si>
    <t xml:space="preserve">P9</t>
  </si>
  <si>
    <t xml:space="preserve">Q · Source pills under questions</t>
  </si>
  <si>
    <t xml:space="preserve">Source pill (caide), as shown</t>
  </si>
  <si>
    <t xml:space="preserve">Under the age and family-history questions</t>
  </si>
  <si>
    <t xml:space="preserve">CAIDE · Dementia Risk Score</t>
  </si>
  <si>
    <r>
      <rPr>
        <i val="true"/>
        <sz val="10"/>
        <color rgb="FF595959"/>
        <rFont val="Arial"/>
        <family val="0"/>
        <charset val="1"/>
      </rPr>
      <t xml:space="preserve">CAIDE · </t>
    </r>
    <r>
      <rPr>
        <i val="true"/>
        <sz val="10"/>
        <color rgb="FF595959"/>
        <rFont val="WenQuanYi Zen Hei"/>
        <family val="2"/>
      </rPr>
      <t xml:space="preserve">痴呆症风险评分</t>
    </r>
  </si>
  <si>
    <t xml:space="preserve">Preview only. A small chip under the question: the source name (bold, always English) then the detail.</t>
  </si>
  <si>
    <t xml:space="preserve">Source pill — source name</t>
  </si>
  <si>
    <t xml:space="preserve">CAIDE</t>
  </si>
  <si>
    <t xml:space="preserve">Name of a paper or study, kept in English in every language on purpose so it can be looked up.</t>
  </si>
  <si>
    <t xml:space="preserve">Source pill — detail</t>
  </si>
  <si>
    <t xml:space="preserve">Dementia Risk Score</t>
  </si>
  <si>
    <t xml:space="preserve">痴呆症风险评分</t>
  </si>
  <si>
    <t xml:space="preserve">P10</t>
  </si>
  <si>
    <t xml:space="preserve">Source pill (straw10), as shown</t>
  </si>
  <si>
    <t xml:space="preserve">Under the hot-flushes question (female only)</t>
  </si>
  <si>
    <t xml:space="preserve">STRAW+10 · Reproductive Aging · 2012</t>
  </si>
  <si>
    <r>
      <rPr>
        <i val="true"/>
        <sz val="10"/>
        <color rgb="FF595959"/>
        <rFont val="Arial"/>
        <family val="0"/>
        <charset val="1"/>
      </rPr>
      <t xml:space="preserve">STRAW+10 · </t>
    </r>
    <r>
      <rPr>
        <i val="true"/>
        <sz val="10"/>
        <color rgb="FF595959"/>
        <rFont val="WenQuanYi Zen Hei"/>
        <family val="2"/>
      </rPr>
      <t xml:space="preserve">生殖衰老 </t>
    </r>
    <r>
      <rPr>
        <i val="true"/>
        <sz val="10"/>
        <color rgb="FF595959"/>
        <rFont val="Arial"/>
        <family val="0"/>
        <charset val="1"/>
      </rPr>
      <t xml:space="preserve">· 2012</t>
    </r>
  </si>
  <si>
    <t xml:space="preserve">STRAW+10</t>
  </si>
  <si>
    <t xml:space="preserve">Reproductive Aging · 2012</t>
  </si>
  <si>
    <r>
      <rPr>
        <sz val="10"/>
        <rFont val="WenQuanYi Zen Hei"/>
        <family val="2"/>
      </rPr>
      <t xml:space="preserve">生殖衰老 </t>
    </r>
    <r>
      <rPr>
        <sz val="10"/>
        <rFont val="Arial"/>
        <family val="0"/>
        <charset val="1"/>
      </rPr>
      <t xml:space="preserve">· 2012</t>
    </r>
  </si>
  <si>
    <t xml:space="preserve">P11</t>
  </si>
  <si>
    <t xml:space="preserve">Source pill (lancet2024), as shown</t>
  </si>
  <si>
    <t xml:space="preserve">Under the "Some risk factors" page</t>
  </si>
  <si>
    <t xml:space="preserve">Lancet Commission · Dementia Prevention · 2024</t>
  </si>
  <si>
    <r>
      <rPr>
        <i val="true"/>
        <sz val="10"/>
        <color rgb="FF595959"/>
        <rFont val="Arial"/>
        <family val="0"/>
        <charset val="1"/>
      </rPr>
      <t xml:space="preserve">Lancet Commission · </t>
    </r>
    <r>
      <rPr>
        <i val="true"/>
        <sz val="10"/>
        <color rgb="FF595959"/>
        <rFont val="WenQuanYi Zen Hei"/>
        <family val="2"/>
      </rPr>
      <t xml:space="preserve">痴呆症预防 </t>
    </r>
    <r>
      <rPr>
        <i val="true"/>
        <sz val="10"/>
        <color rgb="FF595959"/>
        <rFont val="Arial"/>
        <family val="0"/>
        <charset val="1"/>
      </rPr>
      <t xml:space="preserve">· 2024</t>
    </r>
  </si>
  <si>
    <t xml:space="preserve">Lancet Commission</t>
  </si>
  <si>
    <t xml:space="preserve">Dementia Prevention · 2024</t>
  </si>
  <si>
    <r>
      <rPr>
        <sz val="10"/>
        <rFont val="WenQuanYi Zen Hei"/>
        <family val="2"/>
      </rPr>
      <t xml:space="preserve">痴呆症预防 </t>
    </r>
    <r>
      <rPr>
        <sz val="10"/>
        <rFont val="Arial"/>
        <family val="0"/>
        <charset val="1"/>
      </rPr>
      <t xml:space="preserve">· 2024</t>
    </r>
  </si>
  <si>
    <t xml:space="preserve">P12</t>
  </si>
  <si>
    <t xml:space="preserve">Source pill (scd), as shown</t>
  </si>
  <si>
    <t xml:space="preserve">Under the "Changes you might have noticed" page and the two follow-up questions</t>
  </si>
  <si>
    <t xml:space="preserve">SCD literature · Subjective Cognitive Decline</t>
  </si>
  <si>
    <r>
      <rPr>
        <i val="true"/>
        <sz val="10"/>
        <color rgb="FF595959"/>
        <rFont val="Arial"/>
        <family val="0"/>
        <charset val="1"/>
      </rPr>
      <t xml:space="preserve">SCD literature · </t>
    </r>
    <r>
      <rPr>
        <i val="true"/>
        <sz val="10"/>
        <color rgb="FF595959"/>
        <rFont val="WenQuanYi Zen Hei"/>
        <family val="2"/>
      </rPr>
      <t xml:space="preserve">主观认知衰退研究文献</t>
    </r>
  </si>
  <si>
    <t xml:space="preserve">SCD literature</t>
  </si>
  <si>
    <t xml:space="preserve">Subjective Cognitive Decline</t>
  </si>
  <si>
    <t xml:space="preserve">主观认知衰退研究文献</t>
  </si>
  <si>
    <t xml:space="preserve">Q · Age, sex, family</t>
  </si>
  <si>
    <t xml:space="preserve">Question (own page)</t>
  </si>
  <si>
    <t xml:space="preserve">What is your age?</t>
  </si>
  <si>
    <t xml:space="preserve">您的年龄是？</t>
  </si>
  <si>
    <t xml:space="preserve">Answer option</t>
  </si>
  <si>
    <t xml:space="preserve">18 to 29</t>
  </si>
  <si>
    <r>
      <rPr>
        <sz val="10"/>
        <rFont val="Arial"/>
        <family val="0"/>
        <charset val="1"/>
      </rPr>
      <t xml:space="preserve">18 </t>
    </r>
    <r>
      <rPr>
        <sz val="10"/>
        <rFont val="WenQuanYi Zen Hei"/>
        <family val="2"/>
      </rPr>
      <t xml:space="preserve">至 </t>
    </r>
    <r>
      <rPr>
        <sz val="10"/>
        <rFont val="Arial"/>
        <family val="0"/>
        <charset val="1"/>
      </rPr>
      <t xml:space="preserve">29 </t>
    </r>
    <r>
      <rPr>
        <sz val="10"/>
        <rFont val="WenQuanYi Zen Hei"/>
        <family val="2"/>
      </rPr>
      <t xml:space="preserve">岁</t>
    </r>
  </si>
  <si>
    <t xml:space="preserve">30 to 39</t>
  </si>
  <si>
    <r>
      <rPr>
        <sz val="10"/>
        <rFont val="Arial"/>
        <family val="0"/>
        <charset val="1"/>
      </rPr>
      <t xml:space="preserve">30 </t>
    </r>
    <r>
      <rPr>
        <sz val="10"/>
        <rFont val="WenQuanYi Zen Hei"/>
        <family val="2"/>
      </rPr>
      <t xml:space="preserve">至 </t>
    </r>
    <r>
      <rPr>
        <sz val="10"/>
        <rFont val="Arial"/>
        <family val="0"/>
        <charset val="1"/>
      </rPr>
      <t xml:space="preserve">39 </t>
    </r>
    <r>
      <rPr>
        <sz val="10"/>
        <rFont val="WenQuanYi Zen Hei"/>
        <family val="2"/>
      </rPr>
      <t xml:space="preserve">岁</t>
    </r>
  </si>
  <si>
    <t xml:space="preserve">40 to 49</t>
  </si>
  <si>
    <r>
      <rPr>
        <sz val="10"/>
        <rFont val="Arial"/>
        <family val="0"/>
        <charset val="1"/>
      </rPr>
      <t xml:space="preserve">40 </t>
    </r>
    <r>
      <rPr>
        <sz val="10"/>
        <rFont val="WenQuanYi Zen Hei"/>
        <family val="2"/>
      </rPr>
      <t xml:space="preserve">至 </t>
    </r>
    <r>
      <rPr>
        <sz val="10"/>
        <rFont val="Arial"/>
        <family val="0"/>
        <charset val="1"/>
      </rPr>
      <t xml:space="preserve">49 </t>
    </r>
    <r>
      <rPr>
        <sz val="10"/>
        <rFont val="WenQuanYi Zen Hei"/>
        <family val="2"/>
      </rPr>
      <t xml:space="preserve">岁</t>
    </r>
  </si>
  <si>
    <t xml:space="preserve">50 to 59</t>
  </si>
  <si>
    <r>
      <rPr>
        <sz val="10"/>
        <rFont val="Arial"/>
        <family val="0"/>
        <charset val="1"/>
      </rPr>
      <t xml:space="preserve">50 </t>
    </r>
    <r>
      <rPr>
        <sz val="10"/>
        <rFont val="WenQuanYi Zen Hei"/>
        <family val="2"/>
      </rPr>
      <t xml:space="preserve">至 </t>
    </r>
    <r>
      <rPr>
        <sz val="10"/>
        <rFont val="Arial"/>
        <family val="0"/>
        <charset val="1"/>
      </rPr>
      <t xml:space="preserve">59 </t>
    </r>
    <r>
      <rPr>
        <sz val="10"/>
        <rFont val="WenQuanYi Zen Hei"/>
        <family val="2"/>
      </rPr>
      <t xml:space="preserve">岁</t>
    </r>
  </si>
  <si>
    <t xml:space="preserve">60 and older</t>
  </si>
  <si>
    <r>
      <rPr>
        <sz val="10"/>
        <rFont val="Arial"/>
        <family val="0"/>
        <charset val="1"/>
      </rPr>
      <t xml:space="preserve">60 </t>
    </r>
    <r>
      <rPr>
        <sz val="10"/>
        <rFont val="WenQuanYi Zen Hei"/>
        <family val="2"/>
      </rPr>
      <t xml:space="preserve">岁及以上</t>
    </r>
  </si>
  <si>
    <t xml:space="preserve">What is your sex assigned at birth?</t>
  </si>
  <si>
    <t xml:space="preserve">您的出生时生理性别是？</t>
  </si>
  <si>
    <t xml:space="preserve">Female</t>
  </si>
  <si>
    <t xml:space="preserve">女</t>
  </si>
  <si>
    <t xml:space="preserve">Male</t>
  </si>
  <si>
    <t xml:space="preserve">男</t>
  </si>
  <si>
    <t xml:space="preserve">Only if the answer to "sex" is female</t>
  </si>
  <si>
    <t xml:space="preserve">Have you noticed hot flushes, night sweats, or changes to your menstrual cycle?</t>
  </si>
  <si>
    <t xml:space="preserve">您是否出现过潮热、盗汗或月经周期变化？</t>
  </si>
  <si>
    <t xml:space="preserve">Yes</t>
  </si>
  <si>
    <t xml:space="preserve">是</t>
  </si>
  <si>
    <t xml:space="preserve">No</t>
  </si>
  <si>
    <t xml:space="preserve">否</t>
  </si>
  <si>
    <t xml:space="preserve">Do you have a family history of dementia or Alzheimer's?</t>
  </si>
  <si>
    <t xml:space="preserve">您是否有痴呆症或阿尔茨海默病的家族史？</t>
  </si>
  <si>
    <t xml:space="preserve">Yes, immediate family (parents or siblings)</t>
  </si>
  <si>
    <t xml:space="preserve">是，直系亲属（父母或兄弟姐妹）</t>
  </si>
  <si>
    <t xml:space="preserve">Yes, extended family (grandparents, aunts, and uncles)</t>
  </si>
  <si>
    <t xml:space="preserve">是，旁系亲属（祖父母、叔伯、姑姨）</t>
  </si>
  <si>
    <t xml:space="preserve">I'm not sure</t>
  </si>
  <si>
    <t xml:space="preserve">不确定</t>
  </si>
  <si>
    <t xml:space="preserve">Q · Page: some risk factors</t>
  </si>
  <si>
    <t xml:space="preserve">Page heading</t>
  </si>
  <si>
    <t xml:space="preserve">Some risk factors</t>
  </si>
  <si>
    <t xml:space="preserve">一些风险因素</t>
  </si>
  <si>
    <t xml:space="preserve">Line under the heading</t>
  </si>
  <si>
    <t xml:space="preserve">These are about your own health, not your family's.</t>
  </si>
  <si>
    <t xml:space="preserve">以下问题是关于您本人的健康状况，而非家人的。</t>
  </si>
  <si>
    <t xml:space="preserve">Question</t>
  </si>
  <si>
    <t xml:space="preserve">High blood pressure?</t>
  </si>
  <si>
    <t xml:space="preserve">高血压？</t>
  </si>
  <si>
    <t xml:space="preserve">Not sure</t>
  </si>
  <si>
    <t xml:space="preserve">High cholesterol?</t>
  </si>
  <si>
    <t xml:space="preserve">高胆固醇？</t>
  </si>
  <si>
    <t xml:space="preserve">Diabetes or pre-diabetes?</t>
  </si>
  <si>
    <t xml:space="preserve">糖尿病或糖尿病前期？</t>
  </si>
  <si>
    <t xml:space="preserve">Untreated hearing loss?</t>
  </si>
  <si>
    <t xml:space="preserve">未治疗的听力损失？</t>
  </si>
  <si>
    <t xml:space="preserve">Hint under the question</t>
  </si>
  <si>
    <t xml:space="preserve">Without hearing aids or other support.</t>
  </si>
  <si>
    <t xml:space="preserve">指未使用助听器或其他辅助设备。</t>
  </si>
  <si>
    <t xml:space="preserve">Untreated vision loss?</t>
  </si>
  <si>
    <t xml:space="preserve">未矫正的视力问题？</t>
  </si>
  <si>
    <t xml:space="preserve">Uncorrected by glasses, lenses, or surgery.</t>
  </si>
  <si>
    <t xml:space="preserve">指未通过眼镜、隐形眼镜或手术矫正。</t>
  </si>
  <si>
    <t xml:space="preserve">Q · Page: your lifestyle</t>
  </si>
  <si>
    <t xml:space="preserve">Your lifestyle</t>
  </si>
  <si>
    <t xml:space="preserve">您的生活方式</t>
  </si>
  <si>
    <t xml:space="preserve">Are you a current smoker, or were you a smoker within the last 10 years?</t>
  </si>
  <si>
    <r>
      <rPr>
        <sz val="10"/>
        <rFont val="WenQuanYi Zen Hei"/>
        <family val="2"/>
      </rPr>
      <t xml:space="preserve">您目前是否吸烟，或在过去 </t>
    </r>
    <r>
      <rPr>
        <sz val="10"/>
        <rFont val="Arial"/>
        <family val="0"/>
        <charset val="1"/>
      </rPr>
      <t xml:space="preserve">10 </t>
    </r>
    <r>
      <rPr>
        <sz val="10"/>
        <rFont val="WenQuanYi Zen Hei"/>
        <family val="2"/>
      </rPr>
      <t xml:space="preserve">年内曾吸烟？</t>
    </r>
  </si>
  <si>
    <t xml:space="preserve">I currently smoke</t>
  </si>
  <si>
    <t xml:space="preserve">我目前吸烟</t>
  </si>
  <si>
    <t xml:space="preserve">I smoked within the last 10 years</t>
  </si>
  <si>
    <r>
      <rPr>
        <sz val="10"/>
        <rFont val="WenQuanYi Zen Hei"/>
        <family val="2"/>
      </rPr>
      <t xml:space="preserve">我在过去 </t>
    </r>
    <r>
      <rPr>
        <sz val="10"/>
        <rFont val="Arial"/>
        <family val="0"/>
        <charset val="1"/>
      </rPr>
      <t xml:space="preserve">10 </t>
    </r>
    <r>
      <rPr>
        <sz val="10"/>
        <rFont val="WenQuanYi Zen Hei"/>
        <family val="2"/>
      </rPr>
      <t xml:space="preserve">年内吸过烟</t>
    </r>
  </si>
  <si>
    <t xml:space="preserve">Never, or longer than 10 years ago</t>
  </si>
  <si>
    <r>
      <rPr>
        <sz val="10"/>
        <rFont val="WenQuanYi Zen Hei"/>
        <family val="2"/>
      </rPr>
      <t xml:space="preserve">从未吸烟，或已戒烟超过 </t>
    </r>
    <r>
      <rPr>
        <sz val="10"/>
        <rFont val="Arial"/>
        <family val="0"/>
        <charset val="1"/>
      </rPr>
      <t xml:space="preserve">10 </t>
    </r>
    <r>
      <rPr>
        <sz val="10"/>
        <rFont val="WenQuanYi Zen Hei"/>
        <family val="2"/>
      </rPr>
      <t xml:space="preserve">年</t>
    </r>
  </si>
  <si>
    <t xml:space="preserve">On average, how long do you sleep at night?</t>
  </si>
  <si>
    <t xml:space="preserve">您平均每晚睡多久？</t>
  </si>
  <si>
    <t xml:space="preserve">Less than 6 hours</t>
  </si>
  <si>
    <r>
      <rPr>
        <sz val="10"/>
        <rFont val="WenQuanYi Zen Hei"/>
        <family val="2"/>
      </rPr>
      <t xml:space="preserve">少于 </t>
    </r>
    <r>
      <rPr>
        <sz val="10"/>
        <rFont val="Arial"/>
        <family val="0"/>
        <charset val="1"/>
      </rPr>
      <t xml:space="preserve">6 </t>
    </r>
    <r>
      <rPr>
        <sz val="10"/>
        <rFont val="WenQuanYi Zen Hei"/>
        <family val="2"/>
      </rPr>
      <t xml:space="preserve">小时</t>
    </r>
  </si>
  <si>
    <t xml:space="preserve">6 to 7 hours</t>
  </si>
  <si>
    <r>
      <rPr>
        <sz val="10"/>
        <rFont val="Arial"/>
        <family val="0"/>
        <charset val="1"/>
      </rPr>
      <t xml:space="preserve">6 </t>
    </r>
    <r>
      <rPr>
        <sz val="10"/>
        <rFont val="WenQuanYi Zen Hei"/>
        <family val="2"/>
      </rPr>
      <t xml:space="preserve">至 </t>
    </r>
    <r>
      <rPr>
        <sz val="10"/>
        <rFont val="Arial"/>
        <family val="0"/>
        <charset val="1"/>
      </rPr>
      <t xml:space="preserve">7 </t>
    </r>
    <r>
      <rPr>
        <sz val="10"/>
        <rFont val="WenQuanYi Zen Hei"/>
        <family val="2"/>
      </rPr>
      <t xml:space="preserve">小时</t>
    </r>
  </si>
  <si>
    <t xml:space="preserve">7 to 9 hours</t>
  </si>
  <si>
    <r>
      <rPr>
        <sz val="10"/>
        <rFont val="Arial"/>
        <family val="0"/>
        <charset val="1"/>
      </rPr>
      <t xml:space="preserve">7 </t>
    </r>
    <r>
      <rPr>
        <sz val="10"/>
        <rFont val="WenQuanYi Zen Hei"/>
        <family val="2"/>
      </rPr>
      <t xml:space="preserve">至 </t>
    </r>
    <r>
      <rPr>
        <sz val="10"/>
        <rFont val="Arial"/>
        <family val="0"/>
        <charset val="1"/>
      </rPr>
      <t xml:space="preserve">9 </t>
    </r>
    <r>
      <rPr>
        <sz val="10"/>
        <rFont val="WenQuanYi Zen Hei"/>
        <family val="2"/>
      </rPr>
      <t xml:space="preserve">小时</t>
    </r>
  </si>
  <si>
    <t xml:space="preserve">More than 9 hours</t>
  </si>
  <si>
    <r>
      <rPr>
        <sz val="10"/>
        <rFont val="WenQuanYi Zen Hei"/>
        <family val="2"/>
      </rPr>
      <t xml:space="preserve">超过 </t>
    </r>
    <r>
      <rPr>
        <sz val="10"/>
        <rFont val="Arial"/>
        <family val="0"/>
        <charset val="1"/>
      </rPr>
      <t xml:space="preserve">9 </t>
    </r>
    <r>
      <rPr>
        <sz val="10"/>
        <rFont val="WenQuanYi Zen Hei"/>
        <family val="2"/>
      </rPr>
      <t xml:space="preserve">小时</t>
    </r>
  </si>
  <si>
    <t xml:space="preserve">How much cardio exercise do you get per week?</t>
  </si>
  <si>
    <t xml:space="preserve">您每周进行多少有氧运动？</t>
  </si>
  <si>
    <t xml:space="preserve">Less than 75 minutes</t>
  </si>
  <si>
    <r>
      <rPr>
        <sz val="10"/>
        <rFont val="WenQuanYi Zen Hei"/>
        <family val="2"/>
      </rPr>
      <t xml:space="preserve">少于 </t>
    </r>
    <r>
      <rPr>
        <sz val="10"/>
        <rFont val="Arial"/>
        <family val="0"/>
        <charset val="1"/>
      </rPr>
      <t xml:space="preserve">75 </t>
    </r>
    <r>
      <rPr>
        <sz val="10"/>
        <rFont val="WenQuanYi Zen Hei"/>
        <family val="2"/>
      </rPr>
      <t xml:space="preserve">分钟</t>
    </r>
  </si>
  <si>
    <t xml:space="preserve">75 to 149 minutes</t>
  </si>
  <si>
    <r>
      <rPr>
        <sz val="10"/>
        <rFont val="Arial"/>
        <family val="0"/>
        <charset val="1"/>
      </rPr>
      <t xml:space="preserve">75 </t>
    </r>
    <r>
      <rPr>
        <sz val="10"/>
        <rFont val="WenQuanYi Zen Hei"/>
        <family val="2"/>
      </rPr>
      <t xml:space="preserve">至 </t>
    </r>
    <r>
      <rPr>
        <sz val="10"/>
        <rFont val="Arial"/>
        <family val="0"/>
        <charset val="1"/>
      </rPr>
      <t xml:space="preserve">149 </t>
    </r>
    <r>
      <rPr>
        <sz val="10"/>
        <rFont val="WenQuanYi Zen Hei"/>
        <family val="2"/>
      </rPr>
      <t xml:space="preserve">分钟</t>
    </r>
  </si>
  <si>
    <t xml:space="preserve">150 to 300 minutes</t>
  </si>
  <si>
    <r>
      <rPr>
        <sz val="10"/>
        <rFont val="Arial"/>
        <family val="0"/>
        <charset val="1"/>
      </rPr>
      <t xml:space="preserve">150 </t>
    </r>
    <r>
      <rPr>
        <sz val="10"/>
        <rFont val="WenQuanYi Zen Hei"/>
        <family val="2"/>
      </rPr>
      <t xml:space="preserve">至 </t>
    </r>
    <r>
      <rPr>
        <sz val="10"/>
        <rFont val="Arial"/>
        <family val="0"/>
        <charset val="1"/>
      </rPr>
      <t xml:space="preserve">300 </t>
    </r>
    <r>
      <rPr>
        <sz val="10"/>
        <rFont val="WenQuanYi Zen Hei"/>
        <family val="2"/>
      </rPr>
      <t xml:space="preserve">分钟</t>
    </r>
  </si>
  <si>
    <t xml:space="preserve">More than 300 minutes</t>
  </si>
  <si>
    <r>
      <rPr>
        <sz val="10"/>
        <rFont val="WenQuanYi Zen Hei"/>
        <family val="2"/>
      </rPr>
      <t xml:space="preserve">超过 </t>
    </r>
    <r>
      <rPr>
        <sz val="10"/>
        <rFont val="Arial"/>
        <family val="0"/>
        <charset val="1"/>
      </rPr>
      <t xml:space="preserve">300 </t>
    </r>
    <r>
      <rPr>
        <sz val="10"/>
        <rFont val="WenQuanYi Zen Hei"/>
        <family val="2"/>
      </rPr>
      <t xml:space="preserve">分钟</t>
    </r>
  </si>
  <si>
    <t xml:space="preserve">How would you describe your diet?</t>
  </si>
  <si>
    <t xml:space="preserve">您如何描述自己的饮食？</t>
  </si>
  <si>
    <t xml:space="preserve">Mostly processed or high in sugar</t>
  </si>
  <si>
    <t xml:space="preserve">以加工食品或高糖食物为主</t>
  </si>
  <si>
    <t xml:space="preserve">A mix of fresh and processed</t>
  </si>
  <si>
    <t xml:space="preserve">新鲜食材与加工食品混合</t>
  </si>
  <si>
    <t xml:space="preserve">Mostly fresh, balanced meals</t>
  </si>
  <si>
    <t xml:space="preserve">以新鲜、均衡的膳食为主</t>
  </si>
  <si>
    <t xml:space="preserve">How many alcoholic drinks do you have per week?</t>
  </si>
  <si>
    <t xml:space="preserve">您每周饮用多少含酒精饮品？</t>
  </si>
  <si>
    <t xml:space="preserve">1 drink is about 1 small wine, half a pint of beer, or 1 shot of spirits.</t>
  </si>
  <si>
    <r>
      <rPr>
        <sz val="10"/>
        <rFont val="Arial"/>
        <family val="0"/>
        <charset val="1"/>
      </rPr>
      <t xml:space="preserve">1 </t>
    </r>
    <r>
      <rPr>
        <sz val="10"/>
        <rFont val="WenQuanYi Zen Hei"/>
        <family val="2"/>
      </rPr>
      <t xml:space="preserve">杯约等于 </t>
    </r>
    <r>
      <rPr>
        <sz val="10"/>
        <rFont val="Arial"/>
        <family val="0"/>
        <charset val="1"/>
      </rPr>
      <t xml:space="preserve">1 </t>
    </r>
    <r>
      <rPr>
        <sz val="10"/>
        <rFont val="WenQuanYi Zen Hei"/>
        <family val="2"/>
      </rPr>
      <t xml:space="preserve">小杯葡萄酒、半瓶啤酒或 </t>
    </r>
    <r>
      <rPr>
        <sz val="10"/>
        <rFont val="Arial"/>
        <family val="0"/>
        <charset val="1"/>
      </rPr>
      <t xml:space="preserve">1 </t>
    </r>
    <r>
      <rPr>
        <sz val="10"/>
        <rFont val="WenQuanYi Zen Hei"/>
        <family val="2"/>
      </rPr>
      <t xml:space="preserve">杯烈酒。</t>
    </r>
  </si>
  <si>
    <r>
      <rPr>
        <sz val="10"/>
        <rFont val="Arial"/>
        <family val="0"/>
        <charset val="1"/>
      </rPr>
      <t xml:space="preserve">This Chinese replaces the shared quiz bank's "</t>
    </r>
    <r>
      <rPr>
        <sz val="10"/>
        <rFont val="WenQuanYi Zen Hei"/>
        <family val="2"/>
      </rPr>
      <t xml:space="preserve">半品脱</t>
    </r>
    <r>
      <rPr>
        <sz val="10"/>
        <rFont val="Arial"/>
        <family val="0"/>
        <charset val="1"/>
      </rPr>
      <t xml:space="preserve">" (half-pint) with "</t>
    </r>
    <r>
      <rPr>
        <sz val="10"/>
        <rFont val="WenQuanYi Zen Hei"/>
        <family val="2"/>
      </rPr>
      <t xml:space="preserve">半瓶</t>
    </r>
    <r>
      <rPr>
        <sz val="10"/>
        <rFont val="Arial"/>
        <family val="0"/>
        <charset val="1"/>
      </rPr>
      <t xml:space="preserve">" (half a bottle), because readers stumbled on pints.</t>
    </r>
  </si>
  <si>
    <t xml:space="preserve">None</t>
  </si>
  <si>
    <t xml:space="preserve">不喝酒</t>
  </si>
  <si>
    <t xml:space="preserve">1 to 7</t>
  </si>
  <si>
    <r>
      <rPr>
        <sz val="10"/>
        <rFont val="Arial"/>
        <family val="0"/>
        <charset val="1"/>
      </rPr>
      <t xml:space="preserve">1 </t>
    </r>
    <r>
      <rPr>
        <sz val="10"/>
        <rFont val="WenQuanYi Zen Hei"/>
        <family val="2"/>
      </rPr>
      <t xml:space="preserve">至 </t>
    </r>
    <r>
      <rPr>
        <sz val="10"/>
        <rFont val="Arial"/>
        <family val="0"/>
        <charset val="1"/>
      </rPr>
      <t xml:space="preserve">7 </t>
    </r>
    <r>
      <rPr>
        <sz val="10"/>
        <rFont val="WenQuanYi Zen Hei"/>
        <family val="2"/>
      </rPr>
      <t xml:space="preserve">杯</t>
    </r>
  </si>
  <si>
    <t xml:space="preserve">8 to 14</t>
  </si>
  <si>
    <r>
      <rPr>
        <sz val="10"/>
        <rFont val="Arial"/>
        <family val="0"/>
        <charset val="1"/>
      </rPr>
      <t xml:space="preserve">8 </t>
    </r>
    <r>
      <rPr>
        <sz val="10"/>
        <rFont val="WenQuanYi Zen Hei"/>
        <family val="2"/>
      </rPr>
      <t xml:space="preserve">至 </t>
    </r>
    <r>
      <rPr>
        <sz val="10"/>
        <rFont val="Arial"/>
        <family val="0"/>
        <charset val="1"/>
      </rPr>
      <t xml:space="preserve">14 </t>
    </r>
    <r>
      <rPr>
        <sz val="10"/>
        <rFont val="WenQuanYi Zen Hei"/>
        <family val="2"/>
      </rPr>
      <t xml:space="preserve">杯</t>
    </r>
  </si>
  <si>
    <t xml:space="preserve">15 to 21</t>
  </si>
  <si>
    <r>
      <rPr>
        <sz val="10"/>
        <rFont val="Arial"/>
        <family val="0"/>
        <charset val="1"/>
      </rPr>
      <t xml:space="preserve">15 </t>
    </r>
    <r>
      <rPr>
        <sz val="10"/>
        <rFont val="WenQuanYi Zen Hei"/>
        <family val="2"/>
      </rPr>
      <t xml:space="preserve">至 </t>
    </r>
    <r>
      <rPr>
        <sz val="10"/>
        <rFont val="Arial"/>
        <family val="0"/>
        <charset val="1"/>
      </rPr>
      <t xml:space="preserve">21 </t>
    </r>
    <r>
      <rPr>
        <sz val="10"/>
        <rFont val="WenQuanYi Zen Hei"/>
        <family val="2"/>
      </rPr>
      <t xml:space="preserve">杯</t>
    </r>
  </si>
  <si>
    <t xml:space="preserve">More than 21</t>
  </si>
  <si>
    <r>
      <rPr>
        <sz val="10"/>
        <rFont val="WenQuanYi Zen Hei"/>
        <family val="2"/>
      </rPr>
      <t xml:space="preserve">超过 </t>
    </r>
    <r>
      <rPr>
        <sz val="10"/>
        <rFont val="Arial"/>
        <family val="0"/>
        <charset val="1"/>
      </rPr>
      <t xml:space="preserve">21 </t>
    </r>
    <r>
      <rPr>
        <sz val="10"/>
        <rFont val="WenQuanYi Zen Hei"/>
        <family val="2"/>
      </rPr>
      <t xml:space="preserve">杯</t>
    </r>
  </si>
  <si>
    <t xml:space="preserve">Stat card (between questions)</t>
  </si>
  <si>
    <t xml:space="preserve">Label above the stat</t>
  </si>
  <si>
    <t xml:space="preserve">Did you know</t>
  </si>
  <si>
    <t xml:space="preserve">您知道吗</t>
  </si>
  <si>
    <t xml:space="preserve">Big number</t>
  </si>
  <si>
    <t xml:space="preserve">1 in 11</t>
  </si>
  <si>
    <r>
      <rPr>
        <sz val="10"/>
        <rFont val="WenQuanYi Zen Hei"/>
        <family val="2"/>
      </rPr>
      <t xml:space="preserve">每 </t>
    </r>
    <r>
      <rPr>
        <sz val="10"/>
        <rFont val="Arial"/>
        <family val="0"/>
        <charset val="1"/>
      </rPr>
      <t xml:space="preserve">11 </t>
    </r>
    <r>
      <rPr>
        <sz val="10"/>
        <rFont val="WenQuanYi Zen Hei"/>
        <family val="2"/>
      </rPr>
      <t xml:space="preserve">人中有 </t>
    </r>
    <r>
      <rPr>
        <sz val="10"/>
        <rFont val="Arial"/>
        <family val="0"/>
        <charset val="1"/>
      </rPr>
      <t xml:space="preserve">1 </t>
    </r>
    <r>
      <rPr>
        <sz val="10"/>
        <rFont val="WenQuanYi Zen Hei"/>
        <family val="2"/>
      </rPr>
      <t xml:space="preserve">人</t>
    </r>
  </si>
  <si>
    <t xml:space="preserve">Sentence under it</t>
  </si>
  <si>
    <t xml:space="preserve">Singaporeans aged 60 and over live with dementia, with numbers projected to reach 152,000 by 2030.</t>
  </si>
  <si>
    <r>
      <rPr>
        <sz val="10"/>
        <rFont val="Arial"/>
        <family val="0"/>
        <charset val="1"/>
      </rPr>
      <t xml:space="preserve">60 </t>
    </r>
    <r>
      <rPr>
        <sz val="10"/>
        <rFont val="WenQuanYi Zen Hei"/>
        <family val="2"/>
      </rPr>
      <t xml:space="preserve">岁及以上的新加坡人患有痴呆症，预计到 </t>
    </r>
    <r>
      <rPr>
        <sz val="10"/>
        <rFont val="Arial"/>
        <family val="0"/>
        <charset val="1"/>
      </rPr>
      <t xml:space="preserve">2030 </t>
    </r>
    <r>
      <rPr>
        <sz val="10"/>
        <rFont val="WenQuanYi Zen Hei"/>
        <family val="2"/>
      </rPr>
      <t xml:space="preserve">年人数将达到 </t>
    </r>
    <r>
      <rPr>
        <sz val="10"/>
        <rFont val="Arial"/>
        <family val="0"/>
        <charset val="1"/>
      </rPr>
      <t xml:space="preserve">152,000 </t>
    </r>
    <r>
      <rPr>
        <sz val="10"/>
        <rFont val="WenQuanYi Zen Hei"/>
        <family val="2"/>
      </rPr>
      <t xml:space="preserve">人。</t>
    </r>
  </si>
  <si>
    <t xml:space="preserve">P13</t>
  </si>
  <si>
    <t xml:space="preserve">Source line, as shown</t>
  </si>
  <si>
    <t xml:space="preserve">Source: IMH WiSE Study, 2024</t>
  </si>
  <si>
    <r>
      <rPr>
        <i val="true"/>
        <sz val="10"/>
        <color rgb="FF595959"/>
        <rFont val="WenQuanYi Zen Hei"/>
        <family val="2"/>
      </rPr>
      <t xml:space="preserve">来源</t>
    </r>
    <r>
      <rPr>
        <i val="true"/>
        <sz val="10"/>
        <color rgb="FF595959"/>
        <rFont val="Arial"/>
        <family val="0"/>
        <charset val="1"/>
      </rPr>
      <t xml:space="preserve">: IMH WiSE </t>
    </r>
    <r>
      <rPr>
        <i val="true"/>
        <sz val="10"/>
        <color rgb="FF595959"/>
        <rFont val="WenQuanYi Zen Hei"/>
        <family val="2"/>
      </rPr>
      <t xml:space="preserve">研究，</t>
    </r>
    <r>
      <rPr>
        <i val="true"/>
        <sz val="10"/>
        <color rgb="FF595959"/>
        <rFont val="Arial"/>
        <family val="0"/>
        <charset val="1"/>
      </rPr>
      <t xml:space="preserve">2024</t>
    </r>
  </si>
  <si>
    <r>
      <rPr>
        <i val="true"/>
        <sz val="10"/>
        <color rgb="FF595959"/>
        <rFont val="Arial"/>
        <family val="0"/>
        <charset val="1"/>
      </rPr>
      <t xml:space="preserve">Preview only. The page puts a Latin colon and space after the label, so it reads "</t>
    </r>
    <r>
      <rPr>
        <i val="true"/>
        <sz val="10"/>
        <color rgb="FF595959"/>
        <rFont val="WenQuanYi Zen Hei"/>
        <family val="2"/>
      </rPr>
      <t xml:space="preserve">来源</t>
    </r>
    <r>
      <rPr>
        <i val="true"/>
        <sz val="10"/>
        <color rgb="FF595959"/>
        <rFont val="Arial"/>
        <family val="0"/>
        <charset val="1"/>
      </rPr>
      <t xml:space="preserve">: " rather than "</t>
    </r>
    <r>
      <rPr>
        <i val="true"/>
        <sz val="10"/>
        <color rgb="FF595959"/>
        <rFont val="WenQuanYi Zen Hei"/>
        <family val="2"/>
      </rPr>
      <t xml:space="preserve">来源：</t>
    </r>
    <r>
      <rPr>
        <i val="true"/>
        <sz val="10"/>
        <color rgb="FF595959"/>
        <rFont val="Arial"/>
        <family val="0"/>
        <charset val="1"/>
      </rPr>
      <t xml:space="preserve">". Flag it in your comments if that needs changing.</t>
    </r>
  </si>
  <si>
    <t xml:space="preserve">"Source" label</t>
  </si>
  <si>
    <t xml:space="preserve">Source</t>
  </si>
  <si>
    <t xml:space="preserve">来源</t>
  </si>
  <si>
    <t xml:space="preserve">Followed by ": " and the source name.</t>
  </si>
  <si>
    <t xml:space="preserve">Source name</t>
  </si>
  <si>
    <t xml:space="preserve">IMH WiSE Study, 2024</t>
  </si>
  <si>
    <r>
      <rPr>
        <sz val="10"/>
        <rFont val="Arial"/>
        <family val="0"/>
        <charset val="1"/>
      </rPr>
      <t xml:space="preserve">IMH WiSE </t>
    </r>
    <r>
      <rPr>
        <sz val="10"/>
        <rFont val="WenQuanYi Zen Hei"/>
        <family val="2"/>
      </rPr>
      <t xml:space="preserve">研究，</t>
    </r>
    <r>
      <rPr>
        <sz val="10"/>
        <rFont val="Arial"/>
        <family val="0"/>
        <charset val="1"/>
      </rPr>
      <t xml:space="preserve">2024</t>
    </r>
  </si>
  <si>
    <t xml:space="preserve">Q · Tracking</t>
  </si>
  <si>
    <t xml:space="preserve">What do you already keep an eye on?</t>
  </si>
  <si>
    <t xml:space="preserve">您平时关注哪些方面？</t>
  </si>
  <si>
    <t xml:space="preserve">Select all that apply.</t>
  </si>
  <si>
    <t xml:space="preserve">请选择所有适用项。</t>
  </si>
  <si>
    <t xml:space="preserve">Productivity, focus or work performance</t>
  </si>
  <si>
    <t xml:space="preserve">工作效率、专注力或工作表现</t>
  </si>
  <si>
    <t xml:space="preserve">Sleep, HRV, strength or supplements</t>
  </si>
  <si>
    <t xml:space="preserve">睡眠、心率变异性、体能或营养补充</t>
  </si>
  <si>
    <t xml:space="preserve">Hormones, cycle or menopause symptoms</t>
  </si>
  <si>
    <t xml:space="preserve">荷尔蒙、月经周期或更年期症状</t>
  </si>
  <si>
    <t xml:space="preserve">A family member's health (I help care for someone)</t>
  </si>
  <si>
    <t xml:space="preserve">家人的健康（我在照顾某人）</t>
  </si>
  <si>
    <t xml:space="preserve">Nothing in particular</t>
  </si>
  <si>
    <t xml:space="preserve">没有特别关注</t>
  </si>
  <si>
    <t xml:space="preserve">Q · Page: changes you might have noticed</t>
  </si>
  <si>
    <t xml:space="preserve">Changes you might have noticed</t>
  </si>
  <si>
    <t xml:space="preserve">您可能察觉到的变化</t>
  </si>
  <si>
    <t xml:space="preserve">How often do you have trouble concentrating on meetings or sustained tasks?</t>
  </si>
  <si>
    <t xml:space="preserve">您在会议或持续性任务中多常出现注意力不集中的情况？</t>
  </si>
  <si>
    <t xml:space="preserve">Almost daily</t>
  </si>
  <si>
    <t xml:space="preserve">几乎每天</t>
  </si>
  <si>
    <t xml:space="preserve">Several times a week</t>
  </si>
  <si>
    <t xml:space="preserve">Rarely</t>
  </si>
  <si>
    <t xml:space="preserve">很少</t>
  </si>
  <si>
    <t xml:space="preserve">Not that I notice</t>
  </si>
  <si>
    <t xml:space="preserve">没有注意到</t>
  </si>
  <si>
    <t xml:space="preserve">Compared to a few years ago, how often do you have problems with judgement or decision-making?</t>
  </si>
  <si>
    <t xml:space="preserve">与几年前相比，您多常在判断或决策方面遇到困难？</t>
  </si>
  <si>
    <t xml:space="preserve">How often do you experience forgetfulness, such as where you put things or what you meant to do?</t>
  </si>
  <si>
    <t xml:space="preserve">您多常出现健忘，例如忘记东西放哪或原本要做什么？</t>
  </si>
  <si>
    <t xml:space="preserve">Q · Follow-ups</t>
  </si>
  <si>
    <t xml:space="preserve">Only if forgetfulness was noticed</t>
  </si>
  <si>
    <t xml:space="preserve">Has this forgetfulness been persistent rather than a one-off?</t>
  </si>
  <si>
    <t xml:space="preserve">这种健忘是持续性的，还是偶发的？</t>
  </si>
  <si>
    <t xml:space="preserve">Yes, it has persisted</t>
  </si>
  <si>
    <t xml:space="preserve">是，一直持续</t>
  </si>
  <si>
    <t xml:space="preserve">No, it comes and goes</t>
  </si>
  <si>
    <t xml:space="preserve">不是，时有时无</t>
  </si>
  <si>
    <t xml:space="preserve">Have family or friends mentioned noticing changes in your behaviour or habits, even if you haven't?</t>
  </si>
  <si>
    <t xml:space="preserve">是否有其他人注意到您的行为或习惯发生了变化？</t>
  </si>
  <si>
    <t xml:space="preserve">Building your profile | ReCOGnAIze</t>
  </si>
  <si>
    <r>
      <rPr>
        <sz val="10"/>
        <rFont val="WenQuanYi Zen Hei"/>
        <family val="2"/>
      </rPr>
      <t xml:space="preserve">正在生成您的档案 </t>
    </r>
    <r>
      <rPr>
        <sz val="10"/>
        <rFont val="Arial"/>
        <family val="0"/>
        <charset val="1"/>
      </rPr>
      <t xml:space="preserve">| ReCOGnAIze</t>
    </r>
  </si>
  <si>
    <t xml:space="preserve">Spinner label (screen readers)</t>
  </si>
  <si>
    <t xml:space="preserve">Building your profile</t>
  </si>
  <si>
    <t xml:space="preserve">正在生成您的档案</t>
  </si>
  <si>
    <t xml:space="preserve">{name}, we are building your profile</t>
  </si>
  <si>
    <r>
      <rPr>
        <sz val="10"/>
        <rFont val="Arial"/>
        <family val="0"/>
        <charset val="1"/>
      </rPr>
      <t xml:space="preserve">{name}</t>
    </r>
    <r>
      <rPr>
        <sz val="10"/>
        <rFont val="WenQuanYi Zen Hei"/>
        <family val="2"/>
      </rPr>
      <t xml:space="preserve">，正在生成您的档案</t>
    </r>
  </si>
  <si>
    <t xml:space="preserve">Keep {name} exactly as written: it becomes the visitor's name.</t>
  </si>
  <si>
    <t xml:space="preserve">Heading (no name on file)</t>
  </si>
  <si>
    <t xml:space="preserve">Rare: no name on file</t>
  </si>
  <si>
    <t xml:space="preserve">We are building your profile</t>
  </si>
  <si>
    <t xml:space="preserve">Progress line 1 of 5</t>
  </si>
  <si>
    <t xml:space="preserve">Reviewing your profile of factors…</t>
  </si>
  <si>
    <t xml:space="preserve">正在审阅您的风险因素档案…</t>
  </si>
  <si>
    <t xml:space="preserve">Each line shows for about 1.3 seconds.</t>
  </si>
  <si>
    <t xml:space="preserve">Progress line 2 of 5</t>
  </si>
  <si>
    <t xml:space="preserve">Comparing with an age-matched cohort…</t>
  </si>
  <si>
    <t xml:space="preserve">正在与同龄人群作比较…</t>
  </si>
  <si>
    <t xml:space="preserve">Progress line 3 of 5</t>
  </si>
  <si>
    <t xml:space="preserve">Weighing lifestyle and biomedical factors…</t>
  </si>
  <si>
    <t xml:space="preserve">正在权衡生活方式与生理医学因素…</t>
  </si>
  <si>
    <t xml:space="preserve">Progress line 4 of 5</t>
  </si>
  <si>
    <t xml:space="preserve">Cross-referencing the 2024 Lancet Commission framework…</t>
  </si>
  <si>
    <r>
      <rPr>
        <sz val="10"/>
        <rFont val="WenQuanYi Zen Hei"/>
        <family val="2"/>
      </rPr>
      <t xml:space="preserve">正在参照 </t>
    </r>
    <r>
      <rPr>
        <sz val="10"/>
        <rFont val="Arial"/>
        <family val="0"/>
        <charset val="1"/>
      </rPr>
      <t xml:space="preserve">2024 </t>
    </r>
    <r>
      <rPr>
        <sz val="10"/>
        <rFont val="WenQuanYi Zen Hei"/>
        <family val="2"/>
      </rPr>
      <t xml:space="preserve">年《柳叶刀》委员会框架…</t>
    </r>
  </si>
  <si>
    <t xml:space="preserve">Progress line 5 of 5</t>
  </si>
  <si>
    <t xml:space="preserve">Preparing your Brain Health Score…</t>
  </si>
  <si>
    <t xml:space="preserve">正在准备您的脑健康分数…</t>
  </si>
  <si>
    <t xml:space="preserve">P14</t>
  </si>
  <si>
    <t xml:space="preserve">About the report versions</t>
  </si>
  <si>
    <t xml:space="preserve">(read me)</t>
  </si>
  <si>
    <t xml:space="preserve">The report comes in 4 versions: under 40 vs 40 and over (from the quiz age), and a fast vs slower game result. Rows marked "All report versions" appear in every version; the rest name the versions they appear in.</t>
  </si>
  <si>
    <t xml:space="preserve">Information for the translator, not app text.</t>
  </si>
  <si>
    <t xml:space="preserve">Header &amp; page-wide</t>
  </si>
  <si>
    <t xml:space="preserve">Your brain speed report | ReCOGnAIze</t>
  </si>
  <si>
    <r>
      <rPr>
        <sz val="10"/>
        <rFont val="WenQuanYi Zen Hei"/>
        <family val="2"/>
      </rPr>
      <t xml:space="preserve">您的大脑反应速度报告 </t>
    </r>
    <r>
      <rPr>
        <sz val="10"/>
        <rFont val="Arial"/>
        <family val="0"/>
        <charset val="1"/>
      </rPr>
      <t xml:space="preserve">| ReCOGnAIze</t>
    </r>
  </si>
  <si>
    <t xml:space="preserve">Share button</t>
  </si>
  <si>
    <t xml:space="preserve">Share results</t>
  </si>
  <si>
    <t xml:space="preserve">分享结果</t>
  </si>
  <si>
    <t xml:space="preserve">Share button, after copying the link</t>
  </si>
  <si>
    <t xml:space="preserve">Copied</t>
  </si>
  <si>
    <t xml:space="preserve">已复制</t>
  </si>
  <si>
    <t xml:space="preserve">Floating hint on short screens</t>
  </si>
  <si>
    <t xml:space="preserve">More results below</t>
  </si>
  <si>
    <t xml:space="preserve">下方还有更多结果</t>
  </si>
  <si>
    <t xml:space="preserve">Share sheet title</t>
  </si>
  <si>
    <t xml:space="preserve">My brain speed score</t>
  </si>
  <si>
    <t xml:space="preserve">我的大脑速度分数</t>
  </si>
  <si>
    <t xml:space="preserve">Title of the phone's share sheet.</t>
  </si>
  <si>
    <t xml:space="preserve">Shared message</t>
  </si>
  <si>
    <t xml:space="preserve">I reacted faster than {percentile}% of {peers} on a 60-second cognitive test.</t>
  </si>
  <si>
    <r>
      <rPr>
        <sz val="10"/>
        <rFont val="WenQuanYi Zen Hei"/>
        <family val="2"/>
      </rPr>
      <t xml:space="preserve">在一个 </t>
    </r>
    <r>
      <rPr>
        <sz val="10"/>
        <rFont val="Arial"/>
        <family val="0"/>
        <charset val="1"/>
      </rPr>
      <t xml:space="preserve">60 </t>
    </r>
    <r>
      <rPr>
        <sz val="10"/>
        <rFont val="WenQuanYi Zen Hei"/>
        <family val="2"/>
      </rPr>
      <t xml:space="preserve">秒的认知测试中，我的反应速度快过 </t>
    </r>
    <r>
      <rPr>
        <sz val="10"/>
        <rFont val="Arial"/>
        <family val="0"/>
        <charset val="1"/>
      </rPr>
      <t xml:space="preserve">{percentile}% </t>
    </r>
    <r>
      <rPr>
        <sz val="10"/>
        <rFont val="WenQuanYi Zen Hei"/>
        <family val="2"/>
      </rPr>
      <t xml:space="preserve">的</t>
    </r>
    <r>
      <rPr>
        <sz val="10"/>
        <rFont val="Arial"/>
        <family val="0"/>
        <charset val="1"/>
      </rPr>
      <t xml:space="preserve">{peers}</t>
    </r>
    <r>
      <rPr>
        <sz val="10"/>
        <rFont val="WenQuanYi Zen Hei"/>
        <family val="2"/>
      </rPr>
      <t xml:space="preserve">。</t>
    </r>
  </si>
  <si>
    <t xml:space="preserve">Text the visitor shares. Keep {percentile} and {peers} as written: {percentile} is a number, {peers} is one of the two "people aged…" / "people your age" rows below.</t>
  </si>
  <si>
    <t xml:space="preserve">Preview banner</t>
  </si>
  <si>
    <t xml:space="preserve">Only on a device with no finished game (demo/preview)</t>
  </si>
  <si>
    <t xml:space="preserve">Preview mode. No finished game on this device, so the numbers below are a sample.</t>
  </si>
  <si>
    <t xml:space="preserve">预览模式。此设备上没有已完成的游戏记录，以下数字为示例。</t>
  </si>
  <si>
    <t xml:space="preserve">Side rail (section names)</t>
  </si>
  <si>
    <t xml:space="preserve">Rail name (screen readers)</t>
  </si>
  <si>
    <t xml:space="preserve">Report sections</t>
  </si>
  <si>
    <t xml:space="preserve">Read aloud by screen readers. Hardcoded in English, so it stays English in every language.</t>
  </si>
  <si>
    <t xml:space="preserve">Section 1</t>
  </si>
  <si>
    <t xml:space="preserve">Your rank</t>
  </si>
  <si>
    <t xml:space="preserve">您的排名</t>
  </si>
  <si>
    <t xml:space="preserve">Short label beside the dot navigation.</t>
  </si>
  <si>
    <t xml:space="preserve">Section 2</t>
  </si>
  <si>
    <t xml:space="preserve">What it means</t>
  </si>
  <si>
    <t xml:space="preserve">这代表什么</t>
  </si>
  <si>
    <t xml:space="preserve">Section 3</t>
  </si>
  <si>
    <t xml:space="preserve">Risk factors</t>
  </si>
  <si>
    <t xml:space="preserve">风险因素</t>
  </si>
  <si>
    <t xml:space="preserve">Section 4</t>
  </si>
  <si>
    <t xml:space="preserve">Your baseline</t>
  </si>
  <si>
    <t xml:space="preserve">您的基线</t>
  </si>
  <si>
    <t xml:space="preserve">Section 5</t>
  </si>
  <si>
    <t xml:space="preserve">The test</t>
  </si>
  <si>
    <t xml:space="preserve">完整测试</t>
  </si>
  <si>
    <t xml:space="preserve">Section 6</t>
  </si>
  <si>
    <t xml:space="preserve">Next steps</t>
  </si>
  <si>
    <t xml:space="preserve">Section 7</t>
  </si>
  <si>
    <t xml:space="preserve">Wrap up</t>
  </si>
  <si>
    <t xml:space="preserve">结语</t>
  </si>
  <si>
    <t xml:space="preserve">Section 1 · Your rank</t>
  </si>
  <si>
    <t xml:space="preserve">Eyebrow (small caps)</t>
  </si>
  <si>
    <t xml:space="preserve">Under 40, fast result; Under 40, slower result</t>
  </si>
  <si>
    <t xml:space="preserve">40+, fast result; 40+, slower result</t>
  </si>
  <si>
    <t xml:space="preserve">Processing speed check</t>
  </si>
  <si>
    <t xml:space="preserve">处理速度检测</t>
  </si>
  <si>
    <t xml:space="preserve">P15</t>
  </si>
  <si>
    <t xml:space="preserve">Headline, as shown (under-40 fast result)</t>
  </si>
  <si>
    <t xml:space="preserve">Under 40, fast result</t>
  </si>
  <si>
    <t xml:space="preserve">{name}, you are faster than {percentile}% of your peers.</t>
  </si>
  <si>
    <r>
      <rPr>
        <i val="true"/>
        <sz val="10"/>
        <color rgb="FF595959"/>
        <rFont val="Arial"/>
        <family val="0"/>
        <charset val="1"/>
      </rPr>
      <t xml:space="preserve">{name}</t>
    </r>
    <r>
      <rPr>
        <i val="true"/>
        <sz val="10"/>
        <color rgb="FF595959"/>
        <rFont val="WenQuanYi Zen Hei"/>
        <family val="2"/>
      </rPr>
      <t xml:space="preserve">，您的反应速度 快过 </t>
    </r>
    <r>
      <rPr>
        <i val="true"/>
        <sz val="10"/>
        <color rgb="FF595959"/>
        <rFont val="Arial"/>
        <family val="0"/>
        <charset val="1"/>
      </rPr>
      <t xml:space="preserve">{percentile}% </t>
    </r>
    <r>
      <rPr>
        <i val="true"/>
        <sz val="10"/>
        <color rgb="FF595959"/>
        <rFont val="WenQuanYi Zen Hei"/>
        <family val="2"/>
      </rPr>
      <t xml:space="preserve">的同龄人。</t>
    </r>
  </si>
  <si>
    <t xml:space="preserve">Preview only: the rows below joined with the spaces the page puts between them. {percentile} counts up as an animation.</t>
  </si>
  <si>
    <t xml:space="preserve">Headline — start</t>
  </si>
  <si>
    <t xml:space="preserve">{name}, you are</t>
  </si>
  <si>
    <r>
      <rPr>
        <sz val="10"/>
        <rFont val="Arial"/>
        <family val="0"/>
        <charset val="1"/>
      </rPr>
      <t xml:space="preserve">{name}</t>
    </r>
    <r>
      <rPr>
        <sz val="10"/>
        <rFont val="WenQuanYi Zen Hei"/>
        <family val="2"/>
      </rPr>
      <t xml:space="preserve">，您的反应速度</t>
    </r>
  </si>
  <si>
    <t xml:space="preserve">Fragment. Keep {name} as written.</t>
  </si>
  <si>
    <t xml:space="preserve">Headline — start (no name on file)</t>
  </si>
  <si>
    <t xml:space="preserve">Under 40, fast result — no name on file</t>
  </si>
  <si>
    <t xml:space="preserve">You are</t>
  </si>
  <si>
    <t xml:space="preserve">您的反应速度</t>
  </si>
  <si>
    <t xml:space="preserve">Headline — middle</t>
  </si>
  <si>
    <t xml:space="preserve">faster than</t>
  </si>
  <si>
    <t xml:space="preserve">快过</t>
  </si>
  <si>
    <t xml:space="preserve">Fragment. Followed by a space and the percentage.</t>
  </si>
  <si>
    <t xml:space="preserve">Headline — end</t>
  </si>
  <si>
    <t xml:space="preserve">of your peers.</t>
  </si>
  <si>
    <t xml:space="preserve">的同龄人。</t>
  </si>
  <si>
    <t xml:space="preserve">Fragment. Comes after the percentage.</t>
  </si>
  <si>
    <t xml:space="preserve">Headline</t>
  </si>
  <si>
    <t xml:space="preserve">Under 40, slower result — with a name</t>
  </si>
  <si>
    <t xml:space="preserve">{name}, most people were faster than you today.</t>
  </si>
  <si>
    <r>
      <rPr>
        <sz val="10"/>
        <rFont val="Arial"/>
        <family val="0"/>
        <charset val="1"/>
      </rPr>
      <t xml:space="preserve">{name}</t>
    </r>
    <r>
      <rPr>
        <sz val="10"/>
        <rFont val="WenQuanYi Zen Hei"/>
        <family val="2"/>
      </rPr>
      <t xml:space="preserve">，今天大多数人的反应比您快。</t>
    </r>
  </si>
  <si>
    <t xml:space="preserve">Keep {placeholders} exactly as written. {name} = visitor's name; {percentile} and {topBand} = numbers; {avgSeconds} = e.g. 0.54; {domain} = the "processing speed" row below; {ageLabel} = an age-band row below (e.g. "60 and over").</t>
  </si>
  <si>
    <t xml:space="preserve">Under 40, slower result — no name on file</t>
  </si>
  <si>
    <t xml:space="preserve">Most people were faster than you today.</t>
  </si>
  <si>
    <t xml:space="preserve">今天大多数人的反应比您快。</t>
  </si>
  <si>
    <t xml:space="preserve">40+, fast result — with a name</t>
  </si>
  <si>
    <t xml:space="preserve">{name}, your speed is above average for your age band.</t>
  </si>
  <si>
    <r>
      <rPr>
        <sz val="10"/>
        <rFont val="Arial"/>
        <family val="0"/>
        <charset val="1"/>
      </rPr>
      <t xml:space="preserve">{name}</t>
    </r>
    <r>
      <rPr>
        <sz val="10"/>
        <rFont val="WenQuanYi Zen Hei"/>
        <family val="2"/>
      </rPr>
      <t xml:space="preserve">，您的速度高于同年龄组的平均水平。</t>
    </r>
  </si>
  <si>
    <t xml:space="preserve">40+, fast result — no name on file</t>
  </si>
  <si>
    <t xml:space="preserve">Your speed is above average for your age band.</t>
  </si>
  <si>
    <t xml:space="preserve">您的速度高于同年龄组的平均水平。</t>
  </si>
  <si>
    <t xml:space="preserve">40+, slower result — with a name</t>
  </si>
  <si>
    <t xml:space="preserve">{name}, your speed came in below your age band today.</t>
  </si>
  <si>
    <r>
      <rPr>
        <sz val="10"/>
        <rFont val="Arial"/>
        <family val="0"/>
        <charset val="1"/>
      </rPr>
      <t xml:space="preserve">{name}</t>
    </r>
    <r>
      <rPr>
        <sz val="10"/>
        <rFont val="WenQuanYi Zen Hei"/>
        <family val="2"/>
      </rPr>
      <t xml:space="preserve">，今天您的速度低于同年龄组的水平。</t>
    </r>
  </si>
  <si>
    <t xml:space="preserve">40+, slower result — no name on file</t>
  </si>
  <si>
    <t xml:space="preserve">Your speed came in below your age band today.</t>
  </si>
  <si>
    <t xml:space="preserve">今天您的速度低于同年龄组的水平。</t>
  </si>
  <si>
    <t xml:space="preserve">Card label</t>
  </si>
  <si>
    <t xml:space="preserve">Your age band</t>
  </si>
  <si>
    <t xml:space="preserve">您的年龄组</t>
  </si>
  <si>
    <t xml:space="preserve">Card chip (age band)</t>
  </si>
  <si>
    <t xml:space="preserve">Aged {label}</t>
  </si>
  <si>
    <r>
      <rPr>
        <sz val="10"/>
        <rFont val="Arial"/>
        <family val="0"/>
        <charset val="1"/>
      </rPr>
      <t xml:space="preserve">{label} </t>
    </r>
    <r>
      <rPr>
        <sz val="10"/>
        <rFont val="WenQuanYi Zen Hei"/>
        <family val="2"/>
      </rPr>
      <t xml:space="preserve">岁</t>
    </r>
  </si>
  <si>
    <t xml:space="preserve">{label} = an age band such as "60 and over" (rows below), or the raw range like 40-49.</t>
  </si>
  <si>
    <t xml:space="preserve">Card chip (age unknown)</t>
  </si>
  <si>
    <t xml:space="preserve">Rare: no age on file</t>
  </si>
  <si>
    <t xml:space="preserve">All ages</t>
  </si>
  <si>
    <t xml:space="preserve">所有年龄</t>
  </si>
  <si>
    <t xml:space="preserve">Chart label — left</t>
  </si>
  <si>
    <t xml:space="preserve">Slower</t>
  </si>
  <si>
    <t xml:space="preserve">较慢</t>
  </si>
  <si>
    <t xml:space="preserve">Chart axis label. Keep it short.</t>
  </si>
  <si>
    <t xml:space="preserve">Chart label — centre</t>
  </si>
  <si>
    <t xml:space="preserve">Average</t>
  </si>
  <si>
    <t xml:space="preserve">平均</t>
  </si>
  <si>
    <t xml:space="preserve">Chart label — right</t>
  </si>
  <si>
    <t xml:space="preserve">Faster</t>
  </si>
  <si>
    <t xml:space="preserve">较快</t>
  </si>
  <si>
    <t xml:space="preserve">Chart description (screen readers)</t>
  </si>
  <si>
    <t xml:space="preserve">Your reaction time sits at the {percentile}th percentile of your age band</t>
  </si>
  <si>
    <t xml:space="preserve">Read aloud by screen readers. Hardcoded in English, so it stays English in every language. {percentile} is a number.</t>
  </si>
  <si>
    <t xml:space="preserve">Chart marker on the visitor</t>
  </si>
  <si>
    <t xml:space="preserve">YOU</t>
  </si>
  <si>
    <t xml:space="preserve">您</t>
  </si>
  <si>
    <t xml:space="preserve">Tiny marker over the visitor's position. English is in capitals.</t>
  </si>
  <si>
    <t xml:space="preserve">Line under the chart</t>
  </si>
  <si>
    <t xml:space="preserve">That is the top {topBand}% of your age band on {domain}.</t>
  </si>
  <si>
    <r>
      <rPr>
        <sz val="10"/>
        <rFont val="WenQuanYi Zen Hei"/>
        <family val="2"/>
      </rPr>
      <t xml:space="preserve">这是您年龄组中</t>
    </r>
    <r>
      <rPr>
        <sz val="10"/>
        <rFont val="Arial"/>
        <family val="0"/>
        <charset val="1"/>
      </rPr>
      <t xml:space="preserve">{domain}</t>
    </r>
    <r>
      <rPr>
        <sz val="10"/>
        <rFont val="WenQuanYi Zen Hei"/>
        <family val="2"/>
      </rPr>
      <t xml:space="preserve">排名前 </t>
    </r>
    <r>
      <rPr>
        <sz val="10"/>
        <rFont val="Arial"/>
        <family val="0"/>
        <charset val="1"/>
      </rPr>
      <t xml:space="preserve">{topBand}% </t>
    </r>
    <r>
      <rPr>
        <sz val="10"/>
        <rFont val="WenQuanYi Zen Hei"/>
        <family val="2"/>
      </rPr>
      <t xml:space="preserve">的水平。</t>
    </r>
  </si>
  <si>
    <t xml:space="preserve">Under 40, slower result — with a game score</t>
  </si>
  <si>
    <t xml:space="preserve">{avgSeconds} seconds on average — the bottom {percentile}% of your age band.</t>
  </si>
  <si>
    <r>
      <rPr>
        <sz val="10"/>
        <rFont val="WenQuanYi Zen Hei"/>
        <family val="2"/>
      </rPr>
      <t xml:space="preserve">平均 </t>
    </r>
    <r>
      <rPr>
        <sz val="10"/>
        <rFont val="Arial"/>
        <family val="0"/>
        <charset val="1"/>
      </rPr>
      <t xml:space="preserve">{avgSeconds} </t>
    </r>
    <r>
      <rPr>
        <sz val="10"/>
        <rFont val="WenQuanYi Zen Hei"/>
        <family val="2"/>
      </rPr>
      <t xml:space="preserve">秒——处于您年龄组的后 </t>
    </r>
    <r>
      <rPr>
        <sz val="10"/>
        <rFont val="Arial"/>
        <family val="0"/>
        <charset val="1"/>
      </rPr>
      <t xml:space="preserve">{percentile}%</t>
    </r>
    <r>
      <rPr>
        <sz val="10"/>
        <rFont val="WenQuanYi Zen Hei"/>
        <family val="2"/>
      </rPr>
      <t xml:space="preserve">。</t>
    </r>
  </si>
  <si>
    <t xml:space="preserve">Under 40, slower result — no game score</t>
  </si>
  <si>
    <t xml:space="preserve">That is the bottom {percentile}% of your age band on {domain}.</t>
  </si>
  <si>
    <r>
      <rPr>
        <sz val="10"/>
        <rFont val="WenQuanYi Zen Hei"/>
        <family val="2"/>
      </rPr>
      <t xml:space="preserve">这是您年龄组中</t>
    </r>
    <r>
      <rPr>
        <sz val="10"/>
        <rFont val="Arial"/>
        <family val="0"/>
        <charset val="1"/>
      </rPr>
      <t xml:space="preserve">{domain}</t>
    </r>
    <r>
      <rPr>
        <sz val="10"/>
        <rFont val="WenQuanYi Zen Hei"/>
        <family val="2"/>
      </rPr>
      <t xml:space="preserve">排名后 </t>
    </r>
    <r>
      <rPr>
        <sz val="10"/>
        <rFont val="Arial"/>
        <family val="0"/>
        <charset val="1"/>
      </rPr>
      <t xml:space="preserve">{percentile}% </t>
    </r>
    <r>
      <rPr>
        <sz val="10"/>
        <rFont val="WenQuanYi Zen Hei"/>
        <family val="2"/>
      </rPr>
      <t xml:space="preserve">的水平。</t>
    </r>
  </si>
  <si>
    <t xml:space="preserve">40+, fast result — with a game score, with a quiz age</t>
  </si>
  <si>
    <t xml:space="preserve">{avgSeconds} seconds on average — the top {topBand}% for ages {ageLabel}.</t>
  </si>
  <si>
    <r>
      <rPr>
        <sz val="10"/>
        <rFont val="WenQuanYi Zen Hei"/>
        <family val="2"/>
      </rPr>
      <t xml:space="preserve">平均 </t>
    </r>
    <r>
      <rPr>
        <sz val="10"/>
        <rFont val="Arial"/>
        <family val="0"/>
        <charset val="1"/>
      </rPr>
      <t xml:space="preserve">{avgSeconds} </t>
    </r>
    <r>
      <rPr>
        <sz val="10"/>
        <rFont val="WenQuanYi Zen Hei"/>
        <family val="2"/>
      </rPr>
      <t xml:space="preserve">秒——位于</t>
    </r>
    <r>
      <rPr>
        <sz val="10"/>
        <rFont val="Arial"/>
        <family val="0"/>
        <charset val="1"/>
      </rPr>
      <t xml:space="preserve">{ageLabel} </t>
    </r>
    <r>
      <rPr>
        <sz val="10"/>
        <rFont val="WenQuanYi Zen Hei"/>
        <family val="2"/>
      </rPr>
      <t xml:space="preserve">岁人群中的前 </t>
    </r>
    <r>
      <rPr>
        <sz val="10"/>
        <rFont val="Arial"/>
        <family val="0"/>
        <charset val="1"/>
      </rPr>
      <t xml:space="preserve">{topBand}%</t>
    </r>
    <r>
      <rPr>
        <sz val="10"/>
        <rFont val="WenQuanYi Zen Hei"/>
        <family val="2"/>
      </rPr>
      <t xml:space="preserve">。</t>
    </r>
  </si>
  <si>
    <t xml:space="preserve">40+, fast result — with a game score, no quiz age</t>
  </si>
  <si>
    <t xml:space="preserve">{avgSeconds} seconds on average — the top {topBand}% for your age band.</t>
  </si>
  <si>
    <r>
      <rPr>
        <sz val="10"/>
        <rFont val="WenQuanYi Zen Hei"/>
        <family val="2"/>
      </rPr>
      <t xml:space="preserve">平均 </t>
    </r>
    <r>
      <rPr>
        <sz val="10"/>
        <rFont val="Arial"/>
        <family val="0"/>
        <charset val="1"/>
      </rPr>
      <t xml:space="preserve">{avgSeconds} </t>
    </r>
    <r>
      <rPr>
        <sz val="10"/>
        <rFont val="WenQuanYi Zen Hei"/>
        <family val="2"/>
      </rPr>
      <t xml:space="preserve">秒——位于同年龄组中的前 </t>
    </r>
    <r>
      <rPr>
        <sz val="10"/>
        <rFont val="Arial"/>
        <family val="0"/>
        <charset val="1"/>
      </rPr>
      <t xml:space="preserve">{topBand}%</t>
    </r>
    <r>
      <rPr>
        <sz val="10"/>
        <rFont val="WenQuanYi Zen Hei"/>
        <family val="2"/>
      </rPr>
      <t xml:space="preserve">。</t>
    </r>
  </si>
  <si>
    <t xml:space="preserve">40+, fast result — no game score, with a quiz age</t>
  </si>
  <si>
    <t xml:space="preserve">That is the top {topBand}% for ages {ageLabel} on {domain}.</t>
  </si>
  <si>
    <r>
      <rPr>
        <sz val="10"/>
        <rFont val="WenQuanYi Zen Hei"/>
        <family val="2"/>
      </rPr>
      <t xml:space="preserve">这是</t>
    </r>
    <r>
      <rPr>
        <sz val="10"/>
        <rFont val="Arial"/>
        <family val="0"/>
        <charset val="1"/>
      </rPr>
      <t xml:space="preserve">{ageLabel} </t>
    </r>
    <r>
      <rPr>
        <sz val="10"/>
        <rFont val="WenQuanYi Zen Hei"/>
        <family val="2"/>
      </rPr>
      <t xml:space="preserve">岁人群中</t>
    </r>
    <r>
      <rPr>
        <sz val="10"/>
        <rFont val="Arial"/>
        <family val="0"/>
        <charset val="1"/>
      </rPr>
      <t xml:space="preserve">{domain}</t>
    </r>
    <r>
      <rPr>
        <sz val="10"/>
        <rFont val="WenQuanYi Zen Hei"/>
        <family val="2"/>
      </rPr>
      <t xml:space="preserve">排名前 </t>
    </r>
    <r>
      <rPr>
        <sz val="10"/>
        <rFont val="Arial"/>
        <family val="0"/>
        <charset val="1"/>
      </rPr>
      <t xml:space="preserve">{topBand}% </t>
    </r>
    <r>
      <rPr>
        <sz val="10"/>
        <rFont val="WenQuanYi Zen Hei"/>
        <family val="2"/>
      </rPr>
      <t xml:space="preserve">的水平。</t>
    </r>
  </si>
  <si>
    <t xml:space="preserve">40+, fast result — no game score, no quiz age</t>
  </si>
  <si>
    <t xml:space="preserve">That is the top {topBand}% for your age band on {domain}.</t>
  </si>
  <si>
    <r>
      <rPr>
        <sz val="10"/>
        <rFont val="WenQuanYi Zen Hei"/>
        <family val="2"/>
      </rPr>
      <t xml:space="preserve">这是同年龄组中</t>
    </r>
    <r>
      <rPr>
        <sz val="10"/>
        <rFont val="Arial"/>
        <family val="0"/>
        <charset val="1"/>
      </rPr>
      <t xml:space="preserve">{domain}</t>
    </r>
    <r>
      <rPr>
        <sz val="10"/>
        <rFont val="WenQuanYi Zen Hei"/>
        <family val="2"/>
      </rPr>
      <t xml:space="preserve">排名前 </t>
    </r>
    <r>
      <rPr>
        <sz val="10"/>
        <rFont val="Arial"/>
        <family val="0"/>
        <charset val="1"/>
      </rPr>
      <t xml:space="preserve">{topBand}% </t>
    </r>
    <r>
      <rPr>
        <sz val="10"/>
        <rFont val="WenQuanYi Zen Hei"/>
        <family val="2"/>
      </rPr>
      <t xml:space="preserve">的水平。</t>
    </r>
  </si>
  <si>
    <t xml:space="preserve">40+, slower result — with a game score</t>
  </si>
  <si>
    <t xml:space="preserve">{avgSeconds} seconds on average. One game on one day is not a diagnosis.</t>
  </si>
  <si>
    <r>
      <rPr>
        <sz val="10"/>
        <rFont val="WenQuanYi Zen Hei"/>
        <family val="2"/>
      </rPr>
      <t xml:space="preserve">平均 </t>
    </r>
    <r>
      <rPr>
        <sz val="10"/>
        <rFont val="Arial"/>
        <family val="0"/>
        <charset val="1"/>
      </rPr>
      <t xml:space="preserve">{avgSeconds} </t>
    </r>
    <r>
      <rPr>
        <sz val="10"/>
        <rFont val="WenQuanYi Zen Hei"/>
        <family val="2"/>
      </rPr>
      <t xml:space="preserve">秒。单独一天的一次游戏并不构成诊断。</t>
    </r>
  </si>
  <si>
    <t xml:space="preserve">40+, slower result — no game score</t>
  </si>
  <si>
    <t xml:space="preserve">One game on one day is not a diagnosis.</t>
  </si>
  <si>
    <t xml:space="preserve">单独一天的一次游戏并不构成诊断。</t>
  </si>
  <si>
    <t xml:space="preserve">Scroll cue (italic)</t>
  </si>
  <si>
    <t xml:space="preserve">Tell me more</t>
  </si>
  <si>
    <t xml:space="preserve">了解更多</t>
  </si>
  <si>
    <t xml:space="preserve">What did we measure?</t>
  </si>
  <si>
    <t xml:space="preserve">我们测了什么？</t>
  </si>
  <si>
    <t xml:space="preserve">Section 2 · What it means</t>
  </si>
  <si>
    <t xml:space="preserve">What that actually means</t>
  </si>
  <si>
    <t xml:space="preserve">这究竟代表什么</t>
  </si>
  <si>
    <t xml:space="preserve">P16</t>
  </si>
  <si>
    <t xml:space="preserve">Processing speed is how fast your brain takes in what it sees and responds.</t>
  </si>
  <si>
    <t xml:space="preserve">处理速度就是您的大脑多快能够接收所看到的信息并作出反应。</t>
  </si>
  <si>
    <t xml:space="preserve">Preview only: the seven rows below joined. Parts 2, 4 and 6 are set in an italic serif.</t>
  </si>
  <si>
    <t xml:space="preserve">Heading — part 1 of 7</t>
  </si>
  <si>
    <t xml:space="preserve">Processing speed is </t>
  </si>
  <si>
    <t xml:space="preserve">处理速度就是您的大脑</t>
  </si>
  <si>
    <t xml:space="preserve">Heading — part 2 of 7 (italic)</t>
  </si>
  <si>
    <t xml:space="preserve">how fast</t>
  </si>
  <si>
    <t xml:space="preserve">Heading — part 3 of 7</t>
  </si>
  <si>
    <t xml:space="preserve"> your brain </t>
  </si>
  <si>
    <t xml:space="preserve">能够</t>
  </si>
  <si>
    <t xml:space="preserve">Heading — part 4 of 7 (italic)</t>
  </si>
  <si>
    <t xml:space="preserve">takes in</t>
  </si>
  <si>
    <t xml:space="preserve">接收</t>
  </si>
  <si>
    <t xml:space="preserve">Heading — part 5 of 7</t>
  </si>
  <si>
    <t xml:space="preserve"> what it sees and </t>
  </si>
  <si>
    <t xml:space="preserve">所看到的信息并作出</t>
  </si>
  <si>
    <t xml:space="preserve">Heading — part 6 of 7 (italic)</t>
  </si>
  <si>
    <t xml:space="preserve">responds</t>
  </si>
  <si>
    <t xml:space="preserve">反应</t>
  </si>
  <si>
    <t xml:space="preserve">Heading — part 7 of 7</t>
  </si>
  <si>
    <t xml:space="preserve">Intro line</t>
  </si>
  <si>
    <t xml:space="preserve">With high processing speed, you can:</t>
  </si>
  <si>
    <t xml:space="preserve">处理速度快，意味着您可以：</t>
  </si>
  <si>
    <t xml:space="preserve">Under 40, slower result</t>
  </si>
  <si>
    <t xml:space="preserve">Here's what a faster speed would unlock:</t>
  </si>
  <si>
    <t xml:space="preserve">速度更快能为您带来什么：</t>
  </si>
  <si>
    <t xml:space="preserve">40+, fast result</t>
  </si>
  <si>
    <t xml:space="preserve">This is where you notice it in daily life:</t>
  </si>
  <si>
    <t xml:space="preserve">在日常生活中，您会在这些地方感受到：</t>
  </si>
  <si>
    <t xml:space="preserve">40+, slower result</t>
  </si>
  <si>
    <t xml:space="preserve">A slower speed often shows up like this:</t>
  </si>
  <si>
    <t xml:space="preserve">速度偏慢，常常会这样表现出来：</t>
  </si>
  <si>
    <t xml:space="preserve">Example 1 of 3</t>
  </si>
  <si>
    <t xml:space="preserve">Under 40, fast result; Under 40, slower result; 40+, fast result</t>
  </si>
  <si>
    <t xml:space="preserve">Keep up with fast-paced conversations</t>
  </si>
  <si>
    <t xml:space="preserve">跟上节奏很快的对话</t>
  </si>
  <si>
    <t xml:space="preserve">Example 2 of 3</t>
  </si>
  <si>
    <t xml:space="preserve">Adapt swiftly to changing environments</t>
  </si>
  <si>
    <t xml:space="preserve">迅速适应变化的环境</t>
  </si>
  <si>
    <t xml:space="preserve">Example 3 of 3</t>
  </si>
  <si>
    <t xml:space="preserve">Add up the bill before the cashier finishes scanning</t>
  </si>
  <si>
    <t xml:space="preserve">在收银员扫完之前就算好账单</t>
  </si>
  <si>
    <t xml:space="preserve">Fast conversations take more effort to follow</t>
  </si>
  <si>
    <t xml:space="preserve">快节奏的对话需要更费力才能跟上</t>
  </si>
  <si>
    <t xml:space="preserve">Busy environments feel harder to keep up with</t>
  </si>
  <si>
    <t xml:space="preserve">在嘈杂的环境里更难跟上进度</t>
  </si>
  <si>
    <t xml:space="preserve">Adding up the bill takes longer than it used to</t>
  </si>
  <si>
    <t xml:space="preserve">算账单比以前花更久的时间</t>
  </si>
  <si>
    <t xml:space="preserve">Closing line (highlighted)</t>
  </si>
  <si>
    <t xml:space="preserve">Under 40, fast result; 40+, fast result</t>
  </si>
  <si>
    <t xml:space="preserve">If those feel effortless, your score just told you why.</t>
  </si>
  <si>
    <t xml:space="preserve">如果这些对您来说毫不费力，您的分数正好说明了原因。</t>
  </si>
  <si>
    <t xml:space="preserve">Under 40, slower result; 40+, slower result</t>
  </si>
  <si>
    <t xml:space="preserve">If any of those feel like work lately, your score is the reason.</t>
  </si>
  <si>
    <t xml:space="preserve">如果最近这些当中有任何一项让您觉得吃力，您的分数就是原因。</t>
  </si>
  <si>
    <t xml:space="preserve">Section 3 · Risk factors</t>
  </si>
  <si>
    <t xml:space="preserve">Also measured</t>
  </si>
  <si>
    <t xml:space="preserve">我们还测了什么</t>
  </si>
  <si>
    <t xml:space="preserve">Speed was not the only thing we looked at.</t>
  </si>
  <si>
    <t xml:space="preserve">速度并不是我们唯一关注的。</t>
  </si>
  <si>
    <t xml:space="preserve">Body</t>
  </si>
  <si>
    <t xml:space="preserve">We looked at your risk factors too — health and lifestyle habits like high blood pressure, poor sleep, or not enough exercise can slow your brain down over time.</t>
  </si>
  <si>
    <t xml:space="preserve">我们也看了您的风险因素——高血压、睡眠不足、运动不够这类健康与生活习惯，长期下来会拖慢大脑的速度。</t>
  </si>
  <si>
    <t xml:space="preserve">We also looked at your risk factors. Habits like high blood pressure, poor sleep, hearing loss, or too little exercise can slow your thinking over the years.</t>
  </si>
  <si>
    <t xml:space="preserve">我们也看了您的风险因素。高血压、睡眠不足、听力损失或运动太少这类习惯，多年下来会拖慢您的思考速度。</t>
  </si>
  <si>
    <t xml:space="preserve">Chart legend — line 1</t>
  </si>
  <si>
    <t xml:space="preserve">Risk factors managed</t>
  </si>
  <si>
    <t xml:space="preserve">风险因素已管理</t>
  </si>
  <si>
    <t xml:space="preserve">Chart legend — line 2</t>
  </si>
  <si>
    <t xml:space="preserve">Risk factors unmanaged</t>
  </si>
  <si>
    <t xml:space="preserve">风险因素未管理</t>
  </si>
  <si>
    <t xml:space="preserve">Chart axis — top</t>
  </si>
  <si>
    <t xml:space="preserve">Chart axis — bottom</t>
  </si>
  <si>
    <t xml:space="preserve">Chart axis — age prefix</t>
  </si>
  <si>
    <t xml:space="preserve">Age </t>
  </si>
  <si>
    <t xml:space="preserve">年龄 </t>
  </si>
  <si>
    <t xml:space="preserve">Followed by a number, e.g. "Age 40".</t>
  </si>
  <si>
    <t xml:space="preserve">Chart caption</t>
  </si>
  <si>
    <t xml:space="preserve">Illustrative trend, shaped by Jaarsma et al. 2024 and Yaffe et al. 2020 (CARDIA). Not a clinical prediction.</t>
  </si>
  <si>
    <r>
      <rPr>
        <sz val="10"/>
        <rFont val="WenQuanYi Zen Hei"/>
        <family val="2"/>
      </rPr>
      <t xml:space="preserve">示意性趋势，参考 </t>
    </r>
    <r>
      <rPr>
        <sz val="10"/>
        <rFont val="Arial"/>
        <family val="0"/>
        <charset val="1"/>
      </rPr>
      <t xml:space="preserve">Jaarsma </t>
    </r>
    <r>
      <rPr>
        <sz val="10"/>
        <rFont val="WenQuanYi Zen Hei"/>
        <family val="2"/>
      </rPr>
      <t xml:space="preserve">等（</t>
    </r>
    <r>
      <rPr>
        <sz val="10"/>
        <rFont val="Arial"/>
        <family val="0"/>
        <charset val="1"/>
      </rPr>
      <t xml:space="preserve">2024</t>
    </r>
    <r>
      <rPr>
        <sz val="10"/>
        <rFont val="WenQuanYi Zen Hei"/>
        <family val="2"/>
      </rPr>
      <t xml:space="preserve">）与 </t>
    </r>
    <r>
      <rPr>
        <sz val="10"/>
        <rFont val="Arial"/>
        <family val="0"/>
        <charset val="1"/>
      </rPr>
      <t xml:space="preserve">Yaffe </t>
    </r>
    <r>
      <rPr>
        <sz val="10"/>
        <rFont val="WenQuanYi Zen Hei"/>
        <family val="2"/>
      </rPr>
      <t xml:space="preserve">等（</t>
    </r>
    <r>
      <rPr>
        <sz val="10"/>
        <rFont val="Arial"/>
        <family val="0"/>
        <charset val="1"/>
      </rPr>
      <t xml:space="preserve">2020</t>
    </r>
    <r>
      <rPr>
        <sz val="10"/>
        <rFont val="WenQuanYi Zen Hei"/>
        <family val="2"/>
      </rPr>
      <t xml:space="preserve">，</t>
    </r>
    <r>
      <rPr>
        <sz val="10"/>
        <rFont val="Arial"/>
        <family val="0"/>
        <charset val="1"/>
      </rPr>
      <t xml:space="preserve">CARDIA</t>
    </r>
    <r>
      <rPr>
        <sz val="10"/>
        <rFont val="WenQuanYi Zen Hei"/>
        <family val="2"/>
      </rPr>
      <t xml:space="preserve">）。并非临床预测。</t>
    </r>
  </si>
  <si>
    <t xml:space="preserve">Illustrative chart: processing speed declines gently with age when risk factors are managed, and drops steeply when they are left unmanaged</t>
  </si>
  <si>
    <t xml:space="preserve">示意图：管理好风险因素时，处理速度随年龄缓慢下降；放任不管则会急剧下降。</t>
  </si>
  <si>
    <t xml:space="preserve">P17</t>
  </si>
  <si>
    <t xml:space="preserve">Risk level line, as shown</t>
  </si>
  <si>
    <t xml:space="preserve">Your risk level: Moderate</t>
  </si>
  <si>
    <t xml:space="preserve">您的风险等级： 中等</t>
  </si>
  <si>
    <t xml:space="preserve">Preview only, with "Moderate" as the sample level. The page always puts a space between the label and the level.</t>
  </si>
  <si>
    <t xml:space="preserve">Risk level label</t>
  </si>
  <si>
    <t xml:space="preserve">Your risk level:</t>
  </si>
  <si>
    <t xml:space="preserve">您的风险等级：</t>
  </si>
  <si>
    <t xml:space="preserve">Risk level — low</t>
  </si>
  <si>
    <t xml:space="preserve">Low</t>
  </si>
  <si>
    <t xml:space="preserve">低</t>
  </si>
  <si>
    <t xml:space="preserve">Also printed on the risk meter.</t>
  </si>
  <si>
    <t xml:space="preserve">Risk level — moderate</t>
  </si>
  <si>
    <t xml:space="preserve">Moderate</t>
  </si>
  <si>
    <t xml:space="preserve">中等</t>
  </si>
  <si>
    <t xml:space="preserve">Risk level — elevated</t>
  </si>
  <si>
    <t xml:space="preserve">Elevated</t>
  </si>
  <si>
    <t xml:space="preserve">偏高</t>
  </si>
  <si>
    <t xml:space="preserve">Risk level — high</t>
  </si>
  <si>
    <t xml:space="preserve">High</t>
  </si>
  <si>
    <t xml:space="preserve">高</t>
  </si>
  <si>
    <t xml:space="preserve">P18</t>
  </si>
  <si>
    <t xml:space="preserve">Factor list intro, as shown</t>
  </si>
  <si>
    <t xml:space="preserve">Some factors that affect your risk level, {name}:</t>
  </si>
  <si>
    <r>
      <rPr>
        <i val="true"/>
        <sz val="10"/>
        <color rgb="FF595959"/>
        <rFont val="WenQuanYi Zen Hei"/>
        <family val="2"/>
      </rPr>
      <t xml:space="preserve">影响您风险等级的一些因素</t>
    </r>
    <r>
      <rPr>
        <i val="true"/>
        <sz val="10"/>
        <color rgb="FF595959"/>
        <rFont val="Arial"/>
        <family val="0"/>
        <charset val="1"/>
      </rPr>
      <t xml:space="preserve">, {name}:</t>
    </r>
  </si>
  <si>
    <r>
      <rPr>
        <i val="true"/>
        <sz val="10"/>
        <color rgb="FF595959"/>
        <rFont val="Arial"/>
        <family val="0"/>
        <charset val="1"/>
      </rPr>
      <t xml:space="preserve">Preview only. The page adds ", {name}:" with a Latin comma and colon, so it reads with "," and ":" rather than "</t>
    </r>
    <r>
      <rPr>
        <i val="true"/>
        <sz val="10"/>
        <color rgb="FF595959"/>
        <rFont val="WenQuanYi Zen Hei"/>
        <family val="2"/>
      </rPr>
      <t xml:space="preserve">，</t>
    </r>
    <r>
      <rPr>
        <i val="true"/>
        <sz val="10"/>
        <color rgb="FF595959"/>
        <rFont val="Arial"/>
        <family val="0"/>
        <charset val="1"/>
      </rPr>
      <t xml:space="preserve">" and "</t>
    </r>
    <r>
      <rPr>
        <i val="true"/>
        <sz val="10"/>
        <color rgb="FF595959"/>
        <rFont val="WenQuanYi Zen Hei"/>
        <family val="2"/>
      </rPr>
      <t xml:space="preserve">：</t>
    </r>
    <r>
      <rPr>
        <i val="true"/>
        <sz val="10"/>
        <color rgb="FF595959"/>
        <rFont val="Arial"/>
        <family val="0"/>
        <charset val="1"/>
      </rPr>
      <t xml:space="preserve">". Flag it in your comments if that needs changing.</t>
    </r>
  </si>
  <si>
    <t xml:space="preserve">Factor list intro</t>
  </si>
  <si>
    <t xml:space="preserve">Some factors that affect your risk level</t>
  </si>
  <si>
    <t xml:space="preserve">影响您风险等级的一些因素</t>
  </si>
  <si>
    <t xml:space="preserve">Followed by ", {name}:" (see the preview row above).</t>
  </si>
  <si>
    <t xml:space="preserve">Risk factor chip</t>
  </si>
  <si>
    <t xml:space="preserve">Age</t>
  </si>
  <si>
    <t xml:space="preserve">年龄</t>
  </si>
  <si>
    <t xml:space="preserve">Up to five of these show, as chips.</t>
  </si>
  <si>
    <t xml:space="preserve">Hormonal changes</t>
  </si>
  <si>
    <t xml:space="preserve">荷尔蒙变化</t>
  </si>
  <si>
    <t xml:space="preserve">Family history</t>
  </si>
  <si>
    <t xml:space="preserve">家族史</t>
  </si>
  <si>
    <t xml:space="preserve">Blood pressure</t>
  </si>
  <si>
    <t xml:space="preserve">血压</t>
  </si>
  <si>
    <t xml:space="preserve">Cholesterol</t>
  </si>
  <si>
    <t xml:space="preserve">胆固醇</t>
  </si>
  <si>
    <t xml:space="preserve">Diabetes / pre-diabetes</t>
  </si>
  <si>
    <t xml:space="preserve">糖尿病／糖尿病前期</t>
  </si>
  <si>
    <t xml:space="preserve">Untreated hearing loss</t>
  </si>
  <si>
    <t xml:space="preserve">未矫正的听力损失</t>
  </si>
  <si>
    <t xml:space="preserve">Untreated vision loss</t>
  </si>
  <si>
    <t xml:space="preserve">未矫正的视力损失</t>
  </si>
  <si>
    <t xml:space="preserve">Smoking</t>
  </si>
  <si>
    <t xml:space="preserve">吸烟</t>
  </si>
  <si>
    <t xml:space="preserve">Sleep</t>
  </si>
  <si>
    <t xml:space="preserve">睡眠</t>
  </si>
  <si>
    <t xml:space="preserve">Exercise</t>
  </si>
  <si>
    <t xml:space="preserve">运动</t>
  </si>
  <si>
    <t xml:space="preserve">Diet</t>
  </si>
  <si>
    <t xml:space="preserve">饮食</t>
  </si>
  <si>
    <t xml:space="preserve">Alcohol</t>
  </si>
  <si>
    <t xml:space="preserve">饮酒</t>
  </si>
  <si>
    <t xml:space="preserve">Physical activity</t>
  </si>
  <si>
    <t xml:space="preserve">体能活动</t>
  </si>
  <si>
    <t xml:space="preserve">Stress</t>
  </si>
  <si>
    <t xml:space="preserve">压力</t>
  </si>
  <si>
    <t xml:space="preserve">Good-news label</t>
  </si>
  <si>
    <t xml:space="preserve">The good news is</t>
  </si>
  <si>
    <t xml:space="preserve">好消息是</t>
  </si>
  <si>
    <t xml:space="preserve">P19</t>
  </si>
  <si>
    <t xml:space="preserve">Good-news figure, as shown</t>
  </si>
  <si>
    <t xml:space="preserve">About 45%</t>
  </si>
  <si>
    <r>
      <rPr>
        <i val="true"/>
        <sz val="10"/>
        <color rgb="FF595959"/>
        <rFont val="WenQuanYi Zen Hei"/>
        <family val="2"/>
      </rPr>
      <t xml:space="preserve">约 </t>
    </r>
    <r>
      <rPr>
        <i val="true"/>
        <sz val="10"/>
        <color rgb="FF595959"/>
        <rFont val="Arial"/>
        <family val="0"/>
        <charset val="1"/>
      </rPr>
      <t xml:space="preserve">45%</t>
    </r>
  </si>
  <si>
    <t xml:space="preserve">Preview only. The page puts a space before the number.</t>
  </si>
  <si>
    <t xml:space="preserve">Good-news figure — word before the number</t>
  </si>
  <si>
    <t xml:space="preserve">About</t>
  </si>
  <si>
    <t xml:space="preserve">约</t>
  </si>
  <si>
    <t xml:space="preserve">Good-news sentence</t>
  </si>
  <si>
    <t xml:space="preserve">of dementia cases worldwide could be prevented or delayed by addressing the modifiable risk factors across a person's life.</t>
  </si>
  <si>
    <t xml:space="preserve">的全球痴呆症病例，可以通过管理一生中可改变的风险因素来预防或延缓。</t>
  </si>
  <si>
    <t xml:space="preserve">Comes after "About 45%" and completes it.</t>
  </si>
  <si>
    <t xml:space="preserve">Action card — heading</t>
  </si>
  <si>
    <t xml:space="preserve">All report versions</t>
  </si>
  <si>
    <t xml:space="preserve">Here are 3 actionables you can do right now</t>
  </si>
  <si>
    <r>
      <rPr>
        <sz val="10"/>
        <rFont val="WenQuanYi Zen Hei"/>
        <family val="2"/>
      </rPr>
      <t xml:space="preserve">以下是您现在就能做的 </t>
    </r>
    <r>
      <rPr>
        <sz val="10"/>
        <rFont val="Arial"/>
        <family val="0"/>
        <charset val="1"/>
      </rPr>
      <t xml:space="preserve">3 </t>
    </r>
    <r>
      <rPr>
        <sz val="10"/>
        <rFont val="WenQuanYi Zen Hei"/>
        <family val="2"/>
      </rPr>
      <t xml:space="preserve">件事</t>
    </r>
  </si>
  <si>
    <t xml:space="preserve">Action 1 of 3</t>
  </si>
  <si>
    <t xml:space="preserve">Keep doing what you're doing — your speed is strong, so protect it with consistent sleep and regular exercise.</t>
  </si>
  <si>
    <t xml:space="preserve">保持现在的状态——您的速度很好，用规律的睡眠和运动把它守住。</t>
  </si>
  <si>
    <t xml:space="preserve">Action 2 of 3</t>
  </si>
  <si>
    <t xml:space="preserve">Challenge your brain daily — try a new route to work, learn a new skill, or switch up your routine.</t>
  </si>
  <si>
    <t xml:space="preserve">每天给大脑一点挑战——换一条上班路线、学一项新技能，或者调整一下日常安排。</t>
  </si>
  <si>
    <t xml:space="preserve">Action 3 of 3</t>
  </si>
  <si>
    <t xml:space="preserve">Track your baseline — take the full assessment so you have a reference point to compare against over time.</t>
  </si>
  <si>
    <t xml:space="preserve">记录您的基线——做完整评估，日后就有一个可以对照的参考点。</t>
  </si>
  <si>
    <t xml:space="preserve">Prioritise sleep — aim for 7-9 hours; even one extra hour can sharpen reaction time the next day.</t>
  </si>
  <si>
    <r>
      <rPr>
        <sz val="10"/>
        <rFont val="WenQuanYi Zen Hei"/>
        <family val="2"/>
      </rPr>
      <t xml:space="preserve">优先保证睡眠——目标 </t>
    </r>
    <r>
      <rPr>
        <sz val="10"/>
        <rFont val="Arial"/>
        <family val="0"/>
        <charset val="1"/>
      </rPr>
      <t xml:space="preserve">7 </t>
    </r>
    <r>
      <rPr>
        <sz val="10"/>
        <rFont val="WenQuanYi Zen Hei"/>
        <family val="2"/>
      </rPr>
      <t xml:space="preserve">至 </t>
    </r>
    <r>
      <rPr>
        <sz val="10"/>
        <rFont val="Arial"/>
        <family val="0"/>
        <charset val="1"/>
      </rPr>
      <t xml:space="preserve">9 </t>
    </r>
    <r>
      <rPr>
        <sz val="10"/>
        <rFont val="WenQuanYi Zen Hei"/>
        <family val="2"/>
      </rPr>
      <t xml:space="preserve">小时；哪怕多睡一小时，第二天的反应速度都会更好。</t>
    </r>
  </si>
  <si>
    <t xml:space="preserve">Move for 20 minutes — a brisk walk or any cardio boosts blood flow to the brain and improves processing speed.</t>
  </si>
  <si>
    <r>
      <rPr>
        <sz val="10"/>
        <rFont val="WenQuanYi Zen Hei"/>
        <family val="2"/>
      </rPr>
      <t xml:space="preserve">动 </t>
    </r>
    <r>
      <rPr>
        <sz val="10"/>
        <rFont val="Arial"/>
        <family val="0"/>
        <charset val="1"/>
      </rPr>
      <t xml:space="preserve">20 </t>
    </r>
    <r>
      <rPr>
        <sz val="10"/>
        <rFont val="WenQuanYi Zen Hei"/>
        <family val="2"/>
      </rPr>
      <t xml:space="preserve">分钟——快走或任何有氧运动都能促进大脑供血，改善处理速度。</t>
    </r>
  </si>
  <si>
    <t xml:space="preserve">Take the full assessment — find out which domain is actually holding you back so you fix the real bottleneck.</t>
  </si>
  <si>
    <t xml:space="preserve">做完整评估——找出真正拖慢您的那个领域，才能对症下药。</t>
  </si>
  <si>
    <t xml:space="preserve">Take a gentle walk every day — even 15 minutes helps blood flow to the brain and supports long-term cognitive health.</t>
  </si>
  <si>
    <r>
      <rPr>
        <sz val="10"/>
        <rFont val="WenQuanYi Zen Hei"/>
        <family val="2"/>
      </rPr>
      <t xml:space="preserve">每天散步——哪怕 </t>
    </r>
    <r>
      <rPr>
        <sz val="10"/>
        <rFont val="Arial"/>
        <family val="0"/>
        <charset val="1"/>
      </rPr>
      <t xml:space="preserve">15 </t>
    </r>
    <r>
      <rPr>
        <sz val="10"/>
        <rFont val="WenQuanYi Zen Hei"/>
        <family val="2"/>
      </rPr>
      <t xml:space="preserve">分钟，也有助于大脑供血，支持长期的认知健康。</t>
    </r>
  </si>
  <si>
    <t xml:space="preserve">Stay socially active — regular conversations and group activities keep your brain engaged across multiple domains.</t>
  </si>
  <si>
    <t xml:space="preserve">保持社交活跃——经常聊天和参加团体活动，能让大脑的多个领域都保持运作。</t>
  </si>
  <si>
    <t xml:space="preserve">Set a baseline with the full assessment — so you and your doctor have numbers to compare against over time.</t>
  </si>
  <si>
    <t xml:space="preserve">用完整评估建立基线——这样您和医生日后就有数字可以对照。</t>
  </si>
  <si>
    <t xml:space="preserve">Take a gentle walk every day — even 15 minutes helps blood flow to the brain and supports thinking speed.</t>
  </si>
  <si>
    <r>
      <rPr>
        <sz val="10"/>
        <rFont val="WenQuanYi Zen Hei"/>
        <family val="2"/>
      </rPr>
      <t xml:space="preserve">每天散步——哪怕 </t>
    </r>
    <r>
      <rPr>
        <sz val="10"/>
        <rFont val="Arial"/>
        <family val="0"/>
        <charset val="1"/>
      </rPr>
      <t xml:space="preserve">15 </t>
    </r>
    <r>
      <rPr>
        <sz val="10"/>
        <rFont val="WenQuanYi Zen Hei"/>
        <family val="2"/>
      </rPr>
      <t xml:space="preserve">分钟，也有助于大脑供血，支持思考速度。</t>
    </r>
  </si>
  <si>
    <t xml:space="preserve">Keep a simple routine — regular meals, consistent sleep, and familiar structure all reduce cognitive load.</t>
  </si>
  <si>
    <t xml:space="preserve">保持简单的作息——规律的三餐、稳定的睡眠和熟悉的安排，都能减轻大脑的负担。</t>
  </si>
  <si>
    <t xml:space="preserve">Take the full assessment — share the results with your doctor so they have numbers to work with, not just symptoms.</t>
  </si>
  <si>
    <t xml:space="preserve">做完整评估——把结果分享给医生，让他们手上有数字，而不只是症状。</t>
  </si>
  <si>
    <t xml:space="preserve">Section 4 · Your baseline</t>
  </si>
  <si>
    <t xml:space="preserve">Your baseline so far</t>
  </si>
  <si>
    <t xml:space="preserve">目前的基线</t>
  </si>
  <si>
    <t xml:space="preserve">What we covered today</t>
  </si>
  <si>
    <t xml:space="preserve">今天我们测了什么</t>
  </si>
  <si>
    <t xml:space="preserve">Heading — first line</t>
  </si>
  <si>
    <t xml:space="preserve">You've only covered </t>
  </si>
  <si>
    <t xml:space="preserve">您只完成了 </t>
  </si>
  <si>
    <t xml:space="preserve">Followed by a line break and the highlighted part on the next row.</t>
  </si>
  <si>
    <t xml:space="preserve">Heading — highlighted part</t>
  </si>
  <si>
    <t xml:space="preserve">2 out of 5</t>
  </si>
  <si>
    <r>
      <rPr>
        <sz val="10"/>
        <rFont val="Arial"/>
        <family val="0"/>
        <charset val="1"/>
      </rPr>
      <t xml:space="preserve">5 </t>
    </r>
    <r>
      <rPr>
        <sz val="10"/>
        <rFont val="WenQuanYi Zen Hei"/>
        <family val="2"/>
      </rPr>
      <t xml:space="preserve">项中的 </t>
    </r>
    <r>
      <rPr>
        <sz val="10"/>
        <rFont val="Arial"/>
        <family val="0"/>
        <charset val="1"/>
      </rPr>
      <t xml:space="preserve">2 </t>
    </r>
    <r>
      <rPr>
        <sz val="10"/>
        <rFont val="WenQuanYi Zen Hei"/>
        <family val="2"/>
      </rPr>
      <t xml:space="preserve">项</t>
    </r>
  </si>
  <si>
    <t xml:space="preserve">2 of 5</t>
  </si>
  <si>
    <t xml:space="preserve">Card progress</t>
  </si>
  <si>
    <t xml:space="preserve">2 of 5 done</t>
  </si>
  <si>
    <r>
      <rPr>
        <sz val="10"/>
        <rFont val="WenQuanYi Zen Hei"/>
        <family val="2"/>
      </rPr>
      <t xml:space="preserve">已完成 </t>
    </r>
    <r>
      <rPr>
        <sz val="10"/>
        <rFont val="Arial"/>
        <family val="0"/>
        <charset val="1"/>
      </rPr>
      <t xml:space="preserve">5 </t>
    </r>
    <r>
      <rPr>
        <sz val="10"/>
        <rFont val="WenQuanYi Zen Hei"/>
        <family val="2"/>
      </rPr>
      <t xml:space="preserve">项中的 </t>
    </r>
    <r>
      <rPr>
        <sz val="10"/>
        <rFont val="Arial"/>
        <family val="0"/>
        <charset val="1"/>
      </rPr>
      <t xml:space="preserve">2 </t>
    </r>
    <r>
      <rPr>
        <sz val="10"/>
        <rFont val="WenQuanYi Zen Hei"/>
        <family val="2"/>
      </rPr>
      <t xml:space="preserve">项</t>
    </r>
  </si>
  <si>
    <t xml:space="preserve">Radar chart axis 1 of 5</t>
  </si>
  <si>
    <t xml:space="preserve">Speed</t>
  </si>
  <si>
    <t xml:space="preserve">速度</t>
  </si>
  <si>
    <t xml:space="preserve">Chart label. Keep it to one short word.</t>
  </si>
  <si>
    <t xml:space="preserve">Radar chart axis 2 of 5</t>
  </si>
  <si>
    <t xml:space="preserve">Memory</t>
  </si>
  <si>
    <t xml:space="preserve">记忆</t>
  </si>
  <si>
    <t xml:space="preserve">Radar chart axis 3 of 5</t>
  </si>
  <si>
    <t xml:space="preserve">Attention</t>
  </si>
  <si>
    <t xml:space="preserve">注意力</t>
  </si>
  <si>
    <t xml:space="preserve">Radar chart axis 4 of 5</t>
  </si>
  <si>
    <t xml:space="preserve">Executive</t>
  </si>
  <si>
    <t xml:space="preserve">执行功能</t>
  </si>
  <si>
    <t xml:space="preserve">Radar chart axis 5 of 5</t>
  </si>
  <si>
    <t xml:space="preserve">Risk</t>
  </si>
  <si>
    <t xml:space="preserve">风险</t>
  </si>
  <si>
    <t xml:space="preserve">Radar chart description (screen readers)</t>
  </si>
  <si>
    <t xml:space="preserve">Baseline radar: two of five parts measured, three still empty</t>
  </si>
  <si>
    <r>
      <rPr>
        <sz val="10"/>
        <rFont val="WenQuanYi Zen Hei"/>
        <family val="2"/>
      </rPr>
      <t xml:space="preserve">基线雷达图：</t>
    </r>
    <r>
      <rPr>
        <sz val="10"/>
        <rFont val="Arial"/>
        <family val="0"/>
        <charset val="1"/>
      </rPr>
      <t xml:space="preserve">5 </t>
    </r>
    <r>
      <rPr>
        <sz val="10"/>
        <rFont val="WenQuanYi Zen Hei"/>
        <family val="2"/>
      </rPr>
      <t xml:space="preserve">个部分中已测量 </t>
    </r>
    <r>
      <rPr>
        <sz val="10"/>
        <rFont val="Arial"/>
        <family val="0"/>
        <charset val="1"/>
      </rPr>
      <t xml:space="preserve">2 </t>
    </r>
    <r>
      <rPr>
        <sz val="10"/>
        <rFont val="WenQuanYi Zen Hei"/>
        <family val="2"/>
      </rPr>
      <t xml:space="preserve">个，其余 </t>
    </r>
    <r>
      <rPr>
        <sz val="10"/>
        <rFont val="Arial"/>
        <family val="0"/>
        <charset val="1"/>
      </rPr>
      <t xml:space="preserve">3 </t>
    </r>
    <r>
      <rPr>
        <sz val="10"/>
        <rFont val="WenQuanYi Zen Hei"/>
        <family val="2"/>
      </rPr>
      <t xml:space="preserve">个仍为空白。</t>
    </r>
  </si>
  <si>
    <t xml:space="preserve">Paragraph 1 of 3</t>
  </si>
  <si>
    <t xml:space="preserve">The speed game and your quiz answers gave us two axes — speed and risk.</t>
  </si>
  <si>
    <t xml:space="preserve">速度游戏和您的问卷答案给了我们两个维度——速度与风险。</t>
  </si>
  <si>
    <t xml:space="preserve">Paragraph 2 of 3</t>
  </si>
  <si>
    <t xml:space="preserve">But your brain doesn't work on two dimensions. Memory, attention, and executive function each tell a different story, and you can score well on one while struggling with another.</t>
  </si>
  <si>
    <t xml:space="preserve">但大脑不只有两个维度。记忆、注意力和执行功能各自说着不同的故事，一项表现好并不代表另一项没问题。</t>
  </si>
  <si>
    <t xml:space="preserve">Paragraph 3 of 3</t>
  </si>
  <si>
    <t xml:space="preserve">The full test fills in the rest, so your recommendations actually match your brain.</t>
  </si>
  <si>
    <t xml:space="preserve">完整测试会补上其余部分，让建议真正贴合您的大脑。</t>
  </si>
  <si>
    <t xml:space="preserve">The speed game and your quiz answers gave us two axes: speed and risk. Today speed came in low, and one game on one day is a noisy signal.</t>
  </si>
  <si>
    <t xml:space="preserve">速度游戏和您的问卷答案给了我们两个维度：速度与风险。今天速度偏低，而单独一天的一次游戏本身就有波动。</t>
  </si>
  <si>
    <t xml:space="preserve">Memory, attention and executive function each tell a different story, and you can be slow on speed while strong on all three.</t>
  </si>
  <si>
    <t xml:space="preserve">记忆、注意力和执行功能各自说着不同的故事，速度慢也完全可能三者都很强。</t>
  </si>
  <si>
    <t xml:space="preserve">The full test finds which one is actually holding you back, so your strategies target the real bottleneck.</t>
  </si>
  <si>
    <t xml:space="preserve">完整测试会找出真正拖住您的那一项，让策略对准真正的瓶颈。</t>
  </si>
  <si>
    <t xml:space="preserve">Today's game measured one thing: how fast you take in information and respond. Your quiz answers gave us the second: your risk profile.</t>
  </si>
  <si>
    <t xml:space="preserve">今天的游戏只测了一件事：您接收信息并作出反应的速度。您的问卷答案给了我们第二件事：您的风险状况。</t>
  </si>
  <si>
    <t xml:space="preserve">Brain health is not one number. Memory, attention and executive function each do a different job, and it is common to be steady in one and slower in another.</t>
  </si>
  <si>
    <t xml:space="preserve">脑健康不是一个数字。记忆、注意力和执行功能各司其职，某一项稳而另一项慢，是很常见的。</t>
  </si>
  <si>
    <t xml:space="preserve">The full test covers the remaining three, so what we recommend matches your whole profile.</t>
  </si>
  <si>
    <t xml:space="preserve">完整测试会覆盖其余三项，让我们的建议贴合您的整体状况。</t>
  </si>
  <si>
    <t xml:space="preserve">Today's game measured one thing: how fast you take in information and respond. A slower result on a single day can come from tiredness, medication, or simply an unfamiliar game.</t>
  </si>
  <si>
    <t xml:space="preserve">今天的游戏只测了一件事：您接收信息并作出反应的速度。单独一天结果偏慢，可能只是疲倦、药物，或者单纯对游戏不熟悉。</t>
  </si>
  <si>
    <t xml:space="preserve">Memory, attention and executive function each do a different job, and a slow speed does not tell us how those three are doing.</t>
  </si>
  <si>
    <t xml:space="preserve">记忆、注意力和执行功能各司其职，速度慢并不能说明这三项的情况。</t>
  </si>
  <si>
    <t xml:space="preserve">The full test covers the remaining three, so you and your doctor see the whole picture instead of one number.</t>
  </si>
  <si>
    <t xml:space="preserve">完整测试会覆盖其余三项，让您和医生看到全貌，而不是一个数字。</t>
  </si>
  <si>
    <t xml:space="preserve">Section 5 · The test</t>
  </si>
  <si>
    <t xml:space="preserve">Take the test</t>
  </si>
  <si>
    <t xml:space="preserve">How the test works</t>
  </si>
  <si>
    <t xml:space="preserve">测试如何进行</t>
  </si>
  <si>
    <t xml:space="preserve">What do you do now? Take the FULL ReCOGnAIze assessment</t>
  </si>
  <si>
    <r>
      <rPr>
        <sz val="10"/>
        <rFont val="WenQuanYi Zen Hei"/>
        <family val="2"/>
      </rPr>
      <t xml:space="preserve">接下来该怎么做？做完整的 </t>
    </r>
    <r>
      <rPr>
        <sz val="10"/>
        <rFont val="Arial"/>
        <family val="0"/>
        <charset val="1"/>
      </rPr>
      <t xml:space="preserve">ReCOGnAIze </t>
    </r>
    <r>
      <rPr>
        <sz val="10"/>
        <rFont val="WenQuanYi Zen Hei"/>
        <family val="2"/>
      </rPr>
      <t xml:space="preserve">评估</t>
    </r>
  </si>
  <si>
    <t xml:space="preserve">P20</t>
  </si>
  <si>
    <t xml:space="preserve">Under 40 versions (40+ wording is in the rows below)</t>
  </si>
  <si>
    <t xml:space="preserve">Validated against MRI scans, built on a five-year NTU study of 1,500 people and published in Alzheimer's &amp; Dementia.</t>
  </si>
  <si>
    <r>
      <rPr>
        <i val="true"/>
        <sz val="10"/>
        <color rgb="FF595959"/>
        <rFont val="WenQuanYi Zen Hei"/>
        <family val="2"/>
      </rPr>
      <t xml:space="preserve">经磁共振扫描验证，基于南洋理工大学对 </t>
    </r>
    <r>
      <rPr>
        <i val="true"/>
        <sz val="10"/>
        <color rgb="FF595959"/>
        <rFont val="Arial"/>
        <family val="0"/>
        <charset val="1"/>
      </rPr>
      <t xml:space="preserve">1,500 </t>
    </r>
    <r>
      <rPr>
        <i val="true"/>
        <sz val="10"/>
        <color rgb="FF595959"/>
        <rFont val="WenQuanYi Zen Hei"/>
        <family val="2"/>
      </rPr>
      <t xml:space="preserve">人的五年研究，成果发表于 </t>
    </r>
    <r>
      <rPr>
        <i val="true"/>
        <sz val="10"/>
        <color rgb="FF595959"/>
        <rFont val="Arial"/>
        <family val="0"/>
        <charset val="1"/>
      </rPr>
      <t xml:space="preserve">Alzheimer's &amp; Dementia.</t>
    </r>
  </si>
  <si>
    <t xml:space="preserve">Preview only. The page adds the journal name "Alzheimer's &amp; Dementia" (italic, always English) and a Latin full stop.</t>
  </si>
  <si>
    <t xml:space="preserve">Body — up to the journal name</t>
  </si>
  <si>
    <t xml:space="preserve">Validated against MRI scans, built on a five-year NTU study of 1,500 people and published in </t>
  </si>
  <si>
    <r>
      <rPr>
        <sz val="10"/>
        <rFont val="WenQuanYi Zen Hei"/>
        <family val="2"/>
      </rPr>
      <t xml:space="preserve">经磁共振扫描验证，基于南洋理工大学对 </t>
    </r>
    <r>
      <rPr>
        <sz val="10"/>
        <rFont val="Arial"/>
        <family val="0"/>
        <charset val="1"/>
      </rPr>
      <t xml:space="preserve">1,500 </t>
    </r>
    <r>
      <rPr>
        <sz val="10"/>
        <rFont val="WenQuanYi Zen Hei"/>
        <family val="2"/>
      </rPr>
      <t xml:space="preserve">人的五年研究，成果发表于 </t>
    </r>
  </si>
  <si>
    <t xml:space="preserve">Followed by the journal name in italics, then ".".</t>
  </si>
  <si>
    <t xml:space="preserve">Validated against MRI brain scans, built on a five-year NTU study of 1,500 adults, published in </t>
  </si>
  <si>
    <r>
      <rPr>
        <sz val="10"/>
        <rFont val="WenQuanYi Zen Hei"/>
        <family val="2"/>
      </rPr>
      <t xml:space="preserve">经磁共振脑部扫描验证，基于南洋理工大学对 </t>
    </r>
    <r>
      <rPr>
        <sz val="10"/>
        <rFont val="Arial"/>
        <family val="0"/>
        <charset val="1"/>
      </rPr>
      <t xml:space="preserve">1,500 </t>
    </r>
    <r>
      <rPr>
        <sz val="10"/>
        <rFont val="WenQuanYi Zen Hei"/>
        <family val="2"/>
      </rPr>
      <t xml:space="preserve">名成人的五年研究，成果发表于 </t>
    </r>
  </si>
  <si>
    <t xml:space="preserve">Journal name</t>
  </si>
  <si>
    <t xml:space="preserve">Alzheimer's &amp; Dementia</t>
  </si>
  <si>
    <t xml:space="preserve">Journal title, hardcoded in English in every language. Italic.</t>
  </si>
  <si>
    <t xml:space="preserve">"How it works" eyebrow</t>
  </si>
  <si>
    <t xml:space="preserve">How it works</t>
  </si>
  <si>
    <t xml:space="preserve">测试流程</t>
  </si>
  <si>
    <t xml:space="preserve">"How it works" heading</t>
  </si>
  <si>
    <t xml:space="preserve">From test to teleconsult in three steps</t>
  </si>
  <si>
    <t xml:space="preserve">三步完成测试与远程问诊</t>
  </si>
  <si>
    <t xml:space="preserve">Step 1 — label</t>
  </si>
  <si>
    <r>
      <rPr>
        <sz val="10"/>
        <rFont val="WenQuanYi Zen Hei"/>
        <family val="2"/>
      </rPr>
      <t xml:space="preserve">第 </t>
    </r>
    <r>
      <rPr>
        <sz val="10"/>
        <rFont val="Arial"/>
        <family val="0"/>
        <charset val="1"/>
      </rPr>
      <t xml:space="preserve">1 </t>
    </r>
    <r>
      <rPr>
        <sz val="10"/>
        <rFont val="WenQuanYi Zen Hei"/>
        <family val="2"/>
      </rPr>
      <t xml:space="preserve">步</t>
    </r>
  </si>
  <si>
    <t xml:space="preserve">Step 1 — title</t>
  </si>
  <si>
    <t xml:space="preserve">Take an online test</t>
  </si>
  <si>
    <t xml:space="preserve">在线完成测试</t>
  </si>
  <si>
    <t xml:space="preserve">Step 1 — body</t>
  </si>
  <si>
    <t xml:space="preserve">An online assessment with specialised games that measure how your brain handles four aspects — speed, focus, planning, and memory.</t>
  </si>
  <si>
    <t xml:space="preserve">一套在线评估，用专门设计的游戏测量大脑在四个方面的表现——速度、专注、规划和记忆。</t>
  </si>
  <si>
    <t xml:space="preserve">Step 2 — label</t>
  </si>
  <si>
    <r>
      <rPr>
        <sz val="10"/>
        <rFont val="WenQuanYi Zen Hei"/>
        <family val="2"/>
      </rPr>
      <t xml:space="preserve">第 </t>
    </r>
    <r>
      <rPr>
        <sz val="10"/>
        <rFont val="Arial"/>
        <family val="0"/>
        <charset val="1"/>
      </rPr>
      <t xml:space="preserve">2 </t>
    </r>
    <r>
      <rPr>
        <sz val="10"/>
        <rFont val="WenQuanYi Zen Hei"/>
        <family val="2"/>
      </rPr>
      <t xml:space="preserve">步</t>
    </r>
  </si>
  <si>
    <t xml:space="preserve">Step 2 — title</t>
  </si>
  <si>
    <t xml:space="preserve">Get your full report</t>
  </si>
  <si>
    <t xml:space="preserve">获取完整报告</t>
  </si>
  <si>
    <t xml:space="preserve">Step 2 — body</t>
  </si>
  <si>
    <t xml:space="preserve">Your overall risk level for mild cognitive impairment, a breakdown across the four domains, and — where relevant — the most likely underlying cause.</t>
  </si>
  <si>
    <t xml:space="preserve">包括您轻度认知障碍的总体风险等级、四大认知领域的细分表现，以及在相关情况下最可能的潜在原因。</t>
  </si>
  <si>
    <t xml:space="preserve">Step 3 — label</t>
  </si>
  <si>
    <r>
      <rPr>
        <sz val="10"/>
        <rFont val="WenQuanYi Zen Hei"/>
        <family val="2"/>
      </rPr>
      <t xml:space="preserve">第 </t>
    </r>
    <r>
      <rPr>
        <sz val="10"/>
        <rFont val="Arial"/>
        <family val="0"/>
        <charset val="1"/>
      </rPr>
      <t xml:space="preserve">3 </t>
    </r>
    <r>
      <rPr>
        <sz val="10"/>
        <rFont val="WenQuanYi Zen Hei"/>
        <family val="2"/>
      </rPr>
      <t xml:space="preserve">步</t>
    </r>
  </si>
  <si>
    <t xml:space="preserve">Step 3 — title</t>
  </si>
  <si>
    <t xml:space="preserve">Hop on a teleconsult</t>
  </si>
  <si>
    <t xml:space="preserve">进行远程问诊</t>
  </si>
  <si>
    <t xml:space="preserve">Step 3 — body</t>
  </si>
  <si>
    <t xml:space="preserve">A certified doctor analyses your report with you over a telehealth consultation and explains it in detail with clear next steps.</t>
  </si>
  <si>
    <t xml:space="preserve">由持证医生通过远程医疗问诊与您一同分析报告，详细解释并给出明确的下一步建议。</t>
  </si>
  <si>
    <t xml:space="preserve">Step 1 — chip 1 of 4</t>
  </si>
  <si>
    <t xml:space="preserve">Step 1 — chip 2 of 4</t>
  </si>
  <si>
    <t xml:space="preserve">Focus</t>
  </si>
  <si>
    <t xml:space="preserve">专注</t>
  </si>
  <si>
    <t xml:space="preserve">Step 1 — chip 3 of 4</t>
  </si>
  <si>
    <t xml:space="preserve">Planning</t>
  </si>
  <si>
    <t xml:space="preserve">规划</t>
  </si>
  <si>
    <t xml:space="preserve">Step 1 — chip 4 of 4</t>
  </si>
  <si>
    <t xml:space="preserve">Talk to our doctors or clinic assistants to find out more</t>
  </si>
  <si>
    <t xml:space="preserve">想了解更多，请与我们的医生或诊所助理聊聊</t>
  </si>
  <si>
    <t xml:space="preserve">A sentence on a button: wraps to two lines on a phone.</t>
  </si>
  <si>
    <t xml:space="preserve">Button, after it's tapped</t>
  </si>
  <si>
    <t xml:space="preserve">Noted — our team will take it from here</t>
  </si>
  <si>
    <t xml:space="preserve">已记录 — 接下来交给我们的团队</t>
  </si>
  <si>
    <t xml:space="preserve">Doctor's quote</t>
  </si>
  <si>
    <t xml:space="preserve">Each of these games measures a specific brain function the same way I would assess it in clinic. We are not testing whether you can play, we are testing how well each part of your brain is doing the work it does for you every day.</t>
  </si>
  <si>
    <t xml:space="preserve">这些游戏中的每一个，都在以我在诊所中评估的同样方式测量一项特定的大脑功能。我们测的不是您会不会玩游戏，而是大脑的每个部分在日常工作中表现得有多好。</t>
  </si>
  <si>
    <t xml:space="preserve">Doctor's name</t>
  </si>
  <si>
    <t xml:space="preserve">A/Prof Nagaendran Kandiah</t>
  </si>
  <si>
    <r>
      <rPr>
        <sz val="10"/>
        <rFont val="Arial"/>
        <family val="0"/>
        <charset val="1"/>
      </rPr>
      <t xml:space="preserve">Nagaendran Kandiah </t>
    </r>
    <r>
      <rPr>
        <sz val="10"/>
        <rFont val="WenQuanYi Zen Hei"/>
        <family val="2"/>
      </rPr>
      <t xml:space="preserve">副教授</t>
    </r>
  </si>
  <si>
    <t xml:space="preserve">Doctor's role</t>
  </si>
  <si>
    <t xml:space="preserve">Co-founder, Gray Matter Solutions</t>
  </si>
  <si>
    <r>
      <rPr>
        <sz val="10"/>
        <rFont val="Arial"/>
        <family val="0"/>
        <charset val="1"/>
      </rPr>
      <t xml:space="preserve">Gray Matter Solutions </t>
    </r>
    <r>
      <rPr>
        <sz val="10"/>
        <rFont val="WenQuanYi Zen Hei"/>
        <family val="2"/>
      </rPr>
      <t xml:space="preserve">联合创办人</t>
    </r>
  </si>
  <si>
    <t xml:space="preserve">Doctor's credentials</t>
  </si>
  <si>
    <t xml:space="preserve">MBBS, FAMS (Neurology), FRCP (Edin)</t>
  </si>
  <si>
    <r>
      <rPr>
        <sz val="10"/>
        <rFont val="Arial"/>
        <family val="0"/>
        <charset val="1"/>
      </rPr>
      <t xml:space="preserve">MBBS, FAMS (</t>
    </r>
    <r>
      <rPr>
        <sz val="10"/>
        <rFont val="WenQuanYi Zen Hei"/>
        <family val="2"/>
      </rPr>
      <t xml:space="preserve">神经内科</t>
    </r>
    <r>
      <rPr>
        <sz val="10"/>
        <rFont val="Arial"/>
        <family val="0"/>
        <charset val="1"/>
      </rPr>
      <t xml:space="preserve">), FRCP (Edin)</t>
    </r>
  </si>
  <si>
    <t xml:space="preserve">Section 6 · What happens next</t>
  </si>
  <si>
    <t xml:space="preserve">What happens next</t>
  </si>
  <si>
    <t xml:space="preserve">接下来会怎样</t>
  </si>
  <si>
    <t xml:space="preserve">Take the next step with ReCOGnAIze</t>
  </si>
  <si>
    <r>
      <rPr>
        <sz val="10"/>
        <rFont val="WenQuanYi Zen Hei"/>
        <family val="2"/>
      </rPr>
      <t xml:space="preserve">迈出下一步，体验 </t>
    </r>
    <r>
      <rPr>
        <sz val="10"/>
        <rFont val="Arial"/>
        <family val="0"/>
        <charset val="1"/>
      </rPr>
      <t xml:space="preserve">ReCOGnAIze</t>
    </r>
  </si>
  <si>
    <t xml:space="preserve">Body — paragraph 1</t>
  </si>
  <si>
    <t xml:space="preserve">Your Brain Health Score and recommendations are on their way to your inbox. Today's quiz estimates your risk profile; the ReCOGnAIze assessment shows how your brain is actually performing.</t>
  </si>
  <si>
    <r>
      <rPr>
        <sz val="10"/>
        <rFont val="WenQuanYi Zen Hei"/>
        <family val="2"/>
      </rPr>
      <t xml:space="preserve">您的脑健康分数和建议正在发送到您的邮箱。今天的测验估算的是您的风险概况；</t>
    </r>
    <r>
      <rPr>
        <sz val="10"/>
        <rFont val="Arial"/>
        <family val="0"/>
        <charset val="1"/>
      </rPr>
      <t xml:space="preserve">ReCOGnAIze </t>
    </r>
    <r>
      <rPr>
        <sz val="10"/>
        <rFont val="WenQuanYi Zen Hei"/>
        <family val="2"/>
      </rPr>
      <t xml:space="preserve">评估则显示您的大脑实际表现如何。</t>
    </r>
  </si>
  <si>
    <t xml:space="preserve">Body — paragraph 2</t>
  </si>
  <si>
    <t xml:space="preserve">Whatever your score today, most of the factors behind it can change. That is the point of checking early.</t>
  </si>
  <si>
    <t xml:space="preserve">无论您今天的分数如何，背后的大多数因素都是可以改变的。这正是早做检查的意义。</t>
  </si>
  <si>
    <t xml:space="preserve">Product card — name</t>
  </si>
  <si>
    <t xml:space="preserve">ReCOGnAIze brain health assessment</t>
  </si>
  <si>
    <r>
      <rPr>
        <sz val="10"/>
        <rFont val="Arial"/>
        <family val="0"/>
        <charset val="1"/>
      </rPr>
      <t xml:space="preserve">ReCOGnAIze </t>
    </r>
    <r>
      <rPr>
        <sz val="10"/>
        <rFont val="WenQuanYi Zen Hei"/>
        <family val="2"/>
      </rPr>
      <t xml:space="preserve">脑健康评估</t>
    </r>
  </si>
  <si>
    <t xml:space="preserve">Product card — point 1 of 3</t>
  </si>
  <si>
    <t xml:space="preserve">Developed at NTU's Dementia Research Centre</t>
  </si>
  <si>
    <t xml:space="preserve">由南洋理工大学痴呆症研究中心开发</t>
  </si>
  <si>
    <t xml:space="preserve">Product card — point 2 of 3</t>
  </si>
  <si>
    <t xml:space="preserve">Registered with Singapore's HSA</t>
  </si>
  <si>
    <r>
      <rPr>
        <sz val="10"/>
        <rFont val="WenQuanYi Zen Hei"/>
        <family val="2"/>
      </rPr>
      <t xml:space="preserve">已在新加坡卫生科学局（</t>
    </r>
    <r>
      <rPr>
        <sz val="10"/>
        <rFont val="Arial"/>
        <family val="0"/>
        <charset val="1"/>
      </rPr>
      <t xml:space="preserve">HSA</t>
    </r>
    <r>
      <rPr>
        <sz val="10"/>
        <rFont val="WenQuanYi Zen Hei"/>
        <family val="2"/>
      </rPr>
      <t xml:space="preserve">）注册</t>
    </r>
  </si>
  <si>
    <t xml:space="preserve">Product card — point 3 of 3</t>
  </si>
  <si>
    <t xml:space="preserve">Results reviewed with a medical professional</t>
  </si>
  <si>
    <t xml:space="preserve">结果由医疗专业人员与您一同解读</t>
  </si>
  <si>
    <t xml:space="preserve">Callout</t>
  </si>
  <si>
    <t xml:space="preserve">Talk to our doctors or clinic assistants</t>
  </si>
  <si>
    <t xml:space="preserve">与我们的医生或诊所助理聊聊</t>
  </si>
  <si>
    <t xml:space="preserve">Tickbox — tips opt-in</t>
  </si>
  <si>
    <t xml:space="preserve">Send me brain health tips, and early access when we launch.</t>
  </si>
  <si>
    <t xml:space="preserve">请向我发送脑健康建议，并在正式推出时让我优先体验。</t>
  </si>
  <si>
    <t xml:space="preserve">Credibility line</t>
  </si>
  <si>
    <t xml:space="preserve">Built with NTU's Dementia Research Centre · 2024 Lancet Commission</t>
  </si>
  <si>
    <r>
      <rPr>
        <sz val="10"/>
        <rFont val="WenQuanYi Zen Hei"/>
        <family val="2"/>
      </rPr>
      <t xml:space="preserve">与南洋理工大学痴呆症研究中心共同打造 </t>
    </r>
    <r>
      <rPr>
        <sz val="10"/>
        <rFont val="Arial"/>
        <family val="0"/>
        <charset val="1"/>
      </rPr>
      <t xml:space="preserve">· 2024 </t>
    </r>
    <r>
      <rPr>
        <sz val="10"/>
        <rFont val="WenQuanYi Zen Hei"/>
        <family val="2"/>
      </rPr>
      <t xml:space="preserve">年《柳叶刀》委员会</t>
    </r>
  </si>
  <si>
    <t xml:space="preserve">Section 7 · Wrap up</t>
  </si>
  <si>
    <t xml:space="preserve">Quote — paragraph 1 of 1</t>
  </si>
  <si>
    <t xml:space="preserve">Tomorrow's meeting is a tough one, and if I don't have my attention covered, I can't perform well. Thanks to checking my brain, I'm aware of how to optimize it now. Glad I found ReCOGnAIze!</t>
  </si>
  <si>
    <r>
      <rPr>
        <sz val="10"/>
        <rFont val="WenQuanYi Zen Hei"/>
        <family val="2"/>
      </rPr>
      <t xml:space="preserve">明天的会议不好开，如果注意力跟不上，我就发挥不出来。多亏检查了大脑，我现在知道该怎么调整了。很高兴发现了 </t>
    </r>
    <r>
      <rPr>
        <sz val="10"/>
        <rFont val="Arial"/>
        <family val="0"/>
        <charset val="1"/>
      </rPr>
      <t xml:space="preserve">ReCOGnAIze</t>
    </r>
    <r>
      <rPr>
        <sz val="10"/>
        <rFont val="WenQuanYi Zen Hei"/>
        <family val="2"/>
      </rPr>
      <t xml:space="preserve">！</t>
    </r>
  </si>
  <si>
    <t xml:space="preserve">Speed was my worst of the five, which stung. Turns out speed wasn't the problem — my executive function was, and that's why my afternoons fell apart. Fixed the right thing. Glad I found ReCOGnAIze!</t>
  </si>
  <si>
    <r>
      <rPr>
        <sz val="10"/>
        <rFont val="WenQuanYi Zen Hei"/>
        <family val="2"/>
      </rPr>
      <t xml:space="preserve">五项里速度是我最差的，当时挺难受。结果问题不在速度，而是执行功能——这才是我下午总是崩掉的原因。修对了地方。很高兴发现了 </t>
    </r>
    <r>
      <rPr>
        <sz val="10"/>
        <rFont val="Arial"/>
        <family val="0"/>
        <charset val="1"/>
      </rPr>
      <t xml:space="preserve">ReCOGnAIze</t>
    </r>
    <r>
      <rPr>
        <sz val="10"/>
        <rFont val="WenQuanYi Zen Hei"/>
        <family val="2"/>
      </rPr>
      <t xml:space="preserve">！</t>
    </r>
  </si>
  <si>
    <t xml:space="preserve">Quote — paragraph 1 of 2</t>
  </si>
  <si>
    <t xml:space="preserve">I kept losing the thread in conversations and blamed my age. The report showed it was my attention that had slipped, not my memory.</t>
  </si>
  <si>
    <t xml:space="preserve">我常常在聊天时跟不上话题，一直以为是年纪的关系。报告显示是注意力退了，不是记忆。</t>
  </si>
  <si>
    <t xml:space="preserve">Quote — paragraph 2 of 2</t>
  </si>
  <si>
    <t xml:space="preserve">Now I know exactly what to work on, and my doctor has the numbers.</t>
  </si>
  <si>
    <t xml:space="preserve">现在我清楚该在哪里用功，医生也有了数字。</t>
  </si>
  <si>
    <t xml:space="preserve">My first score came back slower than I expected, and it worried me.</t>
  </si>
  <si>
    <t xml:space="preserve">我第一次的分数比预期慢，当时挺担心的。</t>
  </si>
  <si>
    <t xml:space="preserve">The full test showed my memory and attention were fine. It was one area, and my doctor had numbers to work with.</t>
  </si>
  <si>
    <t xml:space="preserve">完整测试显示我的记忆和注意力都没问题。只是其中一项，而医生也有了可以着手的数字。</t>
  </si>
  <si>
    <t xml:space="preserve">Quote attribution</t>
  </si>
  <si>
    <t xml:space="preserve">Under 40, fast result; Under 40, slower result — with a quiz age</t>
  </si>
  <si>
    <t xml:space="preserve">— Chelsea, aged {ageLabel} like you</t>
  </si>
  <si>
    <r>
      <rPr>
        <sz val="10"/>
        <rFont val="Arial"/>
        <family val="0"/>
        <charset val="1"/>
      </rPr>
      <t xml:space="preserve">— Chelsea</t>
    </r>
    <r>
      <rPr>
        <sz val="10"/>
        <rFont val="WenQuanYi Zen Hei"/>
        <family val="2"/>
      </rPr>
      <t xml:space="preserve">，和您一样 </t>
    </r>
    <r>
      <rPr>
        <sz val="10"/>
        <rFont val="Arial"/>
        <family val="0"/>
        <charset val="1"/>
      </rPr>
      <t xml:space="preserve">{ageLabel} </t>
    </r>
    <r>
      <rPr>
        <sz val="10"/>
        <rFont val="WenQuanYi Zen Hei"/>
        <family val="2"/>
      </rPr>
      <t xml:space="preserve">岁</t>
    </r>
  </si>
  <si>
    <t xml:space="preserve">Under 40, fast result; Under 40, slower result — no quiz age</t>
  </si>
  <si>
    <t xml:space="preserve">— Chelsea, similar age as you</t>
  </si>
  <si>
    <r>
      <rPr>
        <sz val="10"/>
        <rFont val="Arial"/>
        <family val="0"/>
        <charset val="1"/>
      </rPr>
      <t xml:space="preserve">— Chelsea</t>
    </r>
    <r>
      <rPr>
        <sz val="10"/>
        <rFont val="WenQuanYi Zen Hei"/>
        <family val="2"/>
      </rPr>
      <t xml:space="preserve">，与您年龄相近</t>
    </r>
  </si>
  <si>
    <t xml:space="preserve">— Siew Ling, 64, similar age as you</t>
  </si>
  <si>
    <r>
      <rPr>
        <sz val="10"/>
        <rFont val="Arial"/>
        <family val="0"/>
        <charset val="1"/>
      </rPr>
      <t xml:space="preserve">— Siew Ling</t>
    </r>
    <r>
      <rPr>
        <sz val="10"/>
        <rFont val="WenQuanYi Zen Hei"/>
        <family val="2"/>
      </rPr>
      <t xml:space="preserve">，</t>
    </r>
    <r>
      <rPr>
        <sz val="10"/>
        <rFont val="Arial"/>
        <family val="0"/>
        <charset val="1"/>
      </rPr>
      <t xml:space="preserve">64 </t>
    </r>
    <r>
      <rPr>
        <sz val="10"/>
        <rFont val="WenQuanYi Zen Hei"/>
        <family val="2"/>
      </rPr>
      <t xml:space="preserve">岁，与您年龄相近</t>
    </r>
  </si>
  <si>
    <t xml:space="preserve">Card heading</t>
  </si>
  <si>
    <t xml:space="preserve">Still need time to think?</t>
  </si>
  <si>
    <t xml:space="preserve">还需要时间考虑？</t>
  </si>
  <si>
    <t xml:space="preserve">Card — paragraph 1</t>
  </si>
  <si>
    <t xml:space="preserve">Your score is already in your inbox, along with a short set of strategies for pushing it up.</t>
  </si>
  <si>
    <t xml:space="preserve">您的分数已经发到邮箱，随附一份提升分数的简短策略。</t>
  </si>
  <si>
    <t xml:space="preserve">Your results are already in your inbox, with a plain explanation of every score.</t>
  </si>
  <si>
    <t xml:space="preserve">您的结果已经发到邮箱，每一项分数都附有通俗的解释。</t>
  </si>
  <si>
    <t xml:space="preserve">Your results are in your inbox with a plain explanation of every score.</t>
  </si>
  <si>
    <t xml:space="preserve">您的结果已经在邮箱里，每一项分数都附有通俗的解释。</t>
  </si>
  <si>
    <t xml:space="preserve">Card — paragraph 2</t>
  </si>
  <si>
    <t xml:space="preserve">When you're ready to test the remaining three brain domains, you know where we are.</t>
  </si>
  <si>
    <t xml:space="preserve">当您准备好测试其余三个大脑领域时，随时来找我们。</t>
  </si>
  <si>
    <t xml:space="preserve">When you're ready to find which domain is actually slowing you down, you know where we are.</t>
  </si>
  <si>
    <t xml:space="preserve">当您准备好找出究竟是哪个领域在拖慢您时，随时来找我们。</t>
  </si>
  <si>
    <t xml:space="preserve">When you're ready to check the remaining three domains, we'll be here. You can bring the report to your doctor.</t>
  </si>
  <si>
    <t xml:space="preserve">当您准备好检测其余三个领域时，我们就在这里。您也可以把报告带给医生看。</t>
  </si>
  <si>
    <t xml:space="preserve">If the slower result worries you, bring the report to your doctor. We'll be here for the other three domains.</t>
  </si>
  <si>
    <t xml:space="preserve">如果偏慢的结果让您担心，请把报告带给医生。其余三个领域，我们随时在这里。</t>
  </si>
  <si>
    <t xml:space="preserve">Research line (footer)</t>
  </si>
  <si>
    <t xml:space="preserve">Built on clinical research by Nanyang Technological University, LKC Medicine, Dementia Research Centre Singapore.</t>
  </si>
  <si>
    <t xml:space="preserve">基于南洋理工大学、李光前医学院、新加坡痴呆症研究中心的临床研究成果。</t>
  </si>
  <si>
    <t xml:space="preserve">Filled into other lines</t>
  </si>
  <si>
    <t xml:space="preserve">Domain name ({domain})</t>
  </si>
  <si>
    <t xml:space="preserve">processing speed</t>
  </si>
  <si>
    <t xml:space="preserve">处理速度</t>
  </si>
  <si>
    <t xml:space="preserve">Not shown alone: fills {domain} in the report lines above. Lower case in English because it sits mid-sentence.</t>
  </si>
  <si>
    <t xml:space="preserve">Age band 18-29 ({ageLabel})</t>
  </si>
  <si>
    <r>
      <rPr>
        <sz val="10"/>
        <rFont val="Arial"/>
        <family val="0"/>
        <charset val="1"/>
      </rPr>
      <t xml:space="preserve">18 </t>
    </r>
    <r>
      <rPr>
        <sz val="10"/>
        <rFont val="WenQuanYi Zen Hei"/>
        <family val="2"/>
      </rPr>
      <t xml:space="preserve">至 </t>
    </r>
    <r>
      <rPr>
        <sz val="10"/>
        <rFont val="Arial"/>
        <family val="0"/>
        <charset val="1"/>
      </rPr>
      <t xml:space="preserve">29</t>
    </r>
  </si>
  <si>
    <t xml:space="preserve">Not shown alone: fills {ageLabel} and the age chip.</t>
  </si>
  <si>
    <t xml:space="preserve">Age band 30-39 ({ageLabel})</t>
  </si>
  <si>
    <r>
      <rPr>
        <sz val="10"/>
        <rFont val="Arial"/>
        <family val="0"/>
        <charset val="1"/>
      </rPr>
      <t xml:space="preserve">30 </t>
    </r>
    <r>
      <rPr>
        <sz val="10"/>
        <rFont val="WenQuanYi Zen Hei"/>
        <family val="2"/>
      </rPr>
      <t xml:space="preserve">至 </t>
    </r>
    <r>
      <rPr>
        <sz val="10"/>
        <rFont val="Arial"/>
        <family val="0"/>
        <charset val="1"/>
      </rPr>
      <t xml:space="preserve">39</t>
    </r>
  </si>
  <si>
    <t xml:space="preserve">Age band 40-49 ({ageLabel})</t>
  </si>
  <si>
    <r>
      <rPr>
        <sz val="10"/>
        <rFont val="Arial"/>
        <family val="0"/>
        <charset val="1"/>
      </rPr>
      <t xml:space="preserve">40 </t>
    </r>
    <r>
      <rPr>
        <sz val="10"/>
        <rFont val="WenQuanYi Zen Hei"/>
        <family val="2"/>
      </rPr>
      <t xml:space="preserve">至 </t>
    </r>
    <r>
      <rPr>
        <sz val="10"/>
        <rFont val="Arial"/>
        <family val="0"/>
        <charset val="1"/>
      </rPr>
      <t xml:space="preserve">49</t>
    </r>
  </si>
  <si>
    <t xml:space="preserve">Age band 50-59 ({ageLabel})</t>
  </si>
  <si>
    <r>
      <rPr>
        <sz val="10"/>
        <rFont val="Arial"/>
        <family val="0"/>
        <charset val="1"/>
      </rPr>
      <t xml:space="preserve">50 </t>
    </r>
    <r>
      <rPr>
        <sz val="10"/>
        <rFont val="WenQuanYi Zen Hei"/>
        <family val="2"/>
      </rPr>
      <t xml:space="preserve">至 </t>
    </r>
    <r>
      <rPr>
        <sz val="10"/>
        <rFont val="Arial"/>
        <family val="0"/>
        <charset val="1"/>
      </rPr>
      <t xml:space="preserve">59</t>
    </r>
  </si>
  <si>
    <t xml:space="preserve">Age band 60+ ({ageLabel})</t>
  </si>
  <si>
    <t xml:space="preserve">60 and over</t>
  </si>
  <si>
    <r>
      <rPr>
        <sz val="10"/>
        <rFont val="Arial"/>
        <family val="0"/>
        <charset val="1"/>
      </rPr>
      <t xml:space="preserve">60 </t>
    </r>
    <r>
      <rPr>
        <sz val="10"/>
        <rFont val="WenQuanYi Zen Hei"/>
        <family val="2"/>
      </rPr>
      <t xml:space="preserve">及以上</t>
    </r>
  </si>
  <si>
    <t xml:space="preserve">"People aged…" ({peers})</t>
  </si>
  <si>
    <t xml:space="preserve">people aged {label}</t>
  </si>
  <si>
    <r>
      <rPr>
        <sz val="10"/>
        <rFont val="Arial"/>
        <family val="0"/>
        <charset val="1"/>
      </rPr>
      <t xml:space="preserve">{label} </t>
    </r>
    <r>
      <rPr>
        <sz val="10"/>
        <rFont val="WenQuanYi Zen Hei"/>
        <family val="2"/>
      </rPr>
      <t xml:space="preserve">岁的人</t>
    </r>
  </si>
  <si>
    <t xml:space="preserve">Fills {peers} in the shared message. {label} is an age range like 40-49.</t>
  </si>
  <si>
    <t xml:space="preserve">"People your age" ({peers})</t>
  </si>
  <si>
    <t xml:space="preserve">people your age</t>
  </si>
  <si>
    <t xml:space="preserve">同龄人</t>
  </si>
  <si>
    <t xml:space="preserve">Fills {peers} when the age is unknown.</t>
  </si>
  <si>
    <t xml:space="preserve">The full picture | ReCOGnAIze</t>
  </si>
  <si>
    <r>
      <rPr>
        <sz val="10"/>
        <rFont val="WenQuanYi Zen Hei"/>
        <family val="2"/>
      </rPr>
      <t xml:space="preserve">完整版图 </t>
    </r>
    <r>
      <rPr>
        <sz val="10"/>
        <rFont val="Arial"/>
        <family val="0"/>
        <charset val="1"/>
      </rPr>
      <t xml:space="preserve">| ReCOGnAIze</t>
    </r>
  </si>
  <si>
    <t xml:space="preserve">Back link</t>
  </si>
  <si>
    <t xml:space="preserve">← Back to your result</t>
  </si>
  <si>
    <t xml:space="preserve">← 返回您的结果</t>
  </si>
  <si>
    <t xml:space="preserve">Eyebrow</t>
  </si>
  <si>
    <t xml:space="preserve">The full picture</t>
  </si>
  <si>
    <t xml:space="preserve">完整版图</t>
  </si>
  <si>
    <t xml:space="preserve">Take the complete brain health assessment</t>
  </si>
  <si>
    <t xml:space="preserve">进行完整的脑健康评估</t>
  </si>
  <si>
    <t xml:space="preserve">Research link</t>
  </si>
  <si>
    <t xml:space="preserve">Validated in peer-reviewed research</t>
  </si>
  <si>
    <t xml:space="preserve">已在同行评审研究中获得验证</t>
  </si>
  <si>
    <t xml:space="preserve">Product name</t>
  </si>
  <si>
    <t xml:space="preserve">BrainScan brain health assessment</t>
  </si>
  <si>
    <r>
      <rPr>
        <sz val="10"/>
        <rFont val="Arial"/>
        <family val="0"/>
        <charset val="1"/>
      </rPr>
      <t xml:space="preserve">BrainScan </t>
    </r>
    <r>
      <rPr>
        <sz val="10"/>
        <rFont val="WenQuanYi Zen Hei"/>
        <family val="2"/>
      </rPr>
      <t xml:space="preserve">脑健康评估</t>
    </r>
  </si>
  <si>
    <t xml:space="preserve">Product note</t>
  </si>
  <si>
    <t xml:space="preserve">Developed at NTU's Dementia Research Centre · Registered with Singapore's HSA</t>
  </si>
  <si>
    <r>
      <rPr>
        <sz val="10"/>
        <rFont val="WenQuanYi Zen Hei"/>
        <family val="2"/>
      </rPr>
      <t xml:space="preserve">由南洋理工大学痴呆症研究中心开发 </t>
    </r>
    <r>
      <rPr>
        <sz val="10"/>
        <rFont val="Arial"/>
        <family val="0"/>
        <charset val="1"/>
      </rPr>
      <t xml:space="preserve">· </t>
    </r>
    <r>
      <rPr>
        <sz val="10"/>
        <rFont val="WenQuanYi Zen Hei"/>
        <family val="2"/>
      </rPr>
      <t xml:space="preserve">已在新加坡卫生科学局注册</t>
    </r>
  </si>
  <si>
    <t xml:space="preserve">What's included 1 of 3</t>
  </si>
  <si>
    <t xml:space="preserve">Clinically-validated neuroscientific games to detect specific brain functions</t>
  </si>
  <si>
    <t xml:space="preserve">经临床验证的神经科学游戏，用于检测特定的大脑功能</t>
  </si>
  <si>
    <t xml:space="preserve">What's included 2 of 3</t>
  </si>
  <si>
    <t xml:space="preserve">All four cognitive domains: processing speed, memory, attention and executive function</t>
  </si>
  <si>
    <t xml:space="preserve">涵盖四大认知领域：处理速度、记忆、注意力与执行功能</t>
  </si>
  <si>
    <t xml:space="preserve">What's included 3 of 3</t>
  </si>
  <si>
    <t xml:space="preserve">Review &amp; recommendations with a full in-depth report</t>
  </si>
  <si>
    <t xml:space="preserve">完整深度报告，附解读与建议</t>
  </si>
  <si>
    <t xml:space="preserve">Offer card</t>
  </si>
  <si>
    <t xml:space="preserve">eyebrow</t>
  </si>
  <si>
    <t xml:space="preserve">Special offer</t>
  </si>
  <si>
    <t xml:space="preserve">专属优惠</t>
  </si>
  <si>
    <t xml:space="preserve">title</t>
  </si>
  <si>
    <t xml:space="preserve">World Alzheimer's Month</t>
  </si>
  <si>
    <t xml:space="preserve">世界阿尔茨海默病月</t>
  </si>
  <si>
    <t xml:space="preserve">window</t>
  </si>
  <si>
    <t xml:space="preserve">1 – 30 September 2026</t>
  </si>
  <si>
    <r>
      <rPr>
        <sz val="10"/>
        <rFont val="Arial"/>
        <family val="0"/>
        <charset val="1"/>
      </rPr>
      <t xml:space="preserve">2026 </t>
    </r>
    <r>
      <rPr>
        <sz val="10"/>
        <rFont val="WenQuanYi Zen Hei"/>
        <family val="2"/>
      </rPr>
      <t xml:space="preserve">年 </t>
    </r>
    <r>
      <rPr>
        <sz val="10"/>
        <rFont val="Arial"/>
        <family val="0"/>
        <charset val="1"/>
      </rPr>
      <t xml:space="preserve">9 </t>
    </r>
    <r>
      <rPr>
        <sz val="10"/>
        <rFont val="WenQuanYi Zen Hei"/>
        <family val="2"/>
      </rPr>
      <t xml:space="preserve">月 </t>
    </r>
    <r>
      <rPr>
        <sz val="10"/>
        <rFont val="Arial"/>
        <family val="0"/>
        <charset val="1"/>
      </rPr>
      <t xml:space="preserve">1 </t>
    </r>
    <r>
      <rPr>
        <sz val="10"/>
        <rFont val="WenQuanYi Zen Hei"/>
        <family val="2"/>
      </rPr>
      <t xml:space="preserve">日 – </t>
    </r>
    <r>
      <rPr>
        <sz val="10"/>
        <rFont val="Arial"/>
        <family val="0"/>
        <charset val="1"/>
      </rPr>
      <t xml:space="preserve">30 </t>
    </r>
    <r>
      <rPr>
        <sz val="10"/>
        <rFont val="WenQuanYi Zen Hei"/>
        <family val="2"/>
      </rPr>
      <t xml:space="preserve">日</t>
    </r>
  </si>
  <si>
    <t xml:space="preserve">productName</t>
  </si>
  <si>
    <t xml:space="preserve">BrainScan Cognitive Test</t>
  </si>
  <si>
    <r>
      <rPr>
        <sz val="10"/>
        <rFont val="Arial"/>
        <family val="0"/>
        <charset val="1"/>
      </rPr>
      <t xml:space="preserve">BrainScan </t>
    </r>
    <r>
      <rPr>
        <sz val="10"/>
        <rFont val="WenQuanYi Zen Hei"/>
        <family val="2"/>
      </rPr>
      <t xml:space="preserve">认知测试</t>
    </r>
  </si>
  <si>
    <t xml:space="preserve">productSub</t>
  </si>
  <si>
    <t xml:space="preserve">4 cognitive domains</t>
  </si>
  <si>
    <r>
      <rPr>
        <sz val="10"/>
        <rFont val="Arial"/>
        <family val="0"/>
        <charset val="1"/>
      </rPr>
      <t xml:space="preserve">4 </t>
    </r>
    <r>
      <rPr>
        <sz val="10"/>
        <rFont val="WenQuanYi Zen Hei"/>
        <family val="2"/>
      </rPr>
      <t xml:space="preserve">大认知领域</t>
    </r>
  </si>
  <si>
    <t xml:space="preserve">Domain 1 of 4</t>
  </si>
  <si>
    <t xml:space="preserve">Processing Speed</t>
  </si>
  <si>
    <t xml:space="preserve">Domain 2 of 4</t>
  </si>
  <si>
    <t xml:space="preserve">Executive Function</t>
  </si>
  <si>
    <t xml:space="preserve">Domain 3 of 4</t>
  </si>
  <si>
    <t xml:space="preserve">Domain 4 of 4</t>
  </si>
  <si>
    <t xml:space="preserve">normalPrice</t>
  </si>
  <si>
    <t xml:space="preserve">Normal price</t>
  </si>
  <si>
    <t xml:space="preserve">原价</t>
  </si>
  <si>
    <t xml:space="preserve">discountLabel</t>
  </si>
  <si>
    <t xml:space="preserve">Alzheimer's Month discount</t>
  </si>
  <si>
    <t xml:space="preserve">阿尔茨海默病月折扣</t>
  </si>
  <si>
    <t xml:space="preserve">total</t>
  </si>
  <si>
    <t xml:space="preserve">总计</t>
  </si>
  <si>
    <t xml:space="preserve">claimCode</t>
  </si>
  <si>
    <t xml:space="preserve">Your claim code:</t>
  </si>
  <si>
    <t xml:space="preserve">您的兑换码：</t>
  </si>
  <si>
    <t xml:space="preserve">preparing</t>
  </si>
  <si>
    <t xml:space="preserve">Preparing…</t>
  </si>
  <si>
    <t xml:space="preserve">正在生成…</t>
  </si>
  <si>
    <t xml:space="preserve">download</t>
  </si>
  <si>
    <t xml:space="preserve">Download proof</t>
  </si>
  <si>
    <t xml:space="preserve">下载优惠凭证</t>
  </si>
  <si>
    <t xml:space="preserve">redeemNote</t>
  </si>
  <si>
    <t xml:space="preserve">Show this at the front desk to claim it.</t>
  </si>
  <si>
    <t xml:space="preserve">在前台出示即可兑换。</t>
  </si>
  <si>
    <t xml:space="preserve">FAQ</t>
  </si>
  <si>
    <t xml:space="preserve">Question 1</t>
  </si>
  <si>
    <t xml:space="preserve">What is BrainScan?</t>
  </si>
  <si>
    <r>
      <rPr>
        <sz val="10"/>
        <rFont val="WenQuanYi Zen Hei"/>
        <family val="2"/>
      </rPr>
      <t xml:space="preserve">什么是 </t>
    </r>
    <r>
      <rPr>
        <sz val="10"/>
        <rFont val="Arial"/>
        <family val="0"/>
        <charset val="1"/>
      </rPr>
      <t xml:space="preserve">BrainScan</t>
    </r>
    <r>
      <rPr>
        <sz val="10"/>
        <rFont val="WenQuanYi Zen Hei"/>
        <family val="2"/>
      </rPr>
      <t xml:space="preserve">？</t>
    </r>
  </si>
  <si>
    <t xml:space="preserve">Answer 1</t>
  </si>
  <si>
    <t xml:space="preserve">A digital brain health assessment developed at NTU's Dementia Research Centre and registered with Singapore's HSA.</t>
  </si>
  <si>
    <t xml:space="preserve">一项由南洋理工大学痴呆症研究中心开发、并已在新加坡卫生科学局注册的数字化脑健康评估。</t>
  </si>
  <si>
    <t xml:space="preserve">Question 2</t>
  </si>
  <si>
    <t xml:space="preserve">How is this 3-minute quiz different from BrainScan?</t>
  </si>
  <si>
    <r>
      <rPr>
        <sz val="10"/>
        <rFont val="WenQuanYi Zen Hei"/>
        <family val="2"/>
      </rPr>
      <t xml:space="preserve">这个 </t>
    </r>
    <r>
      <rPr>
        <sz val="10"/>
        <rFont val="Arial"/>
        <family val="0"/>
        <charset val="1"/>
      </rPr>
      <t xml:space="preserve">3 </t>
    </r>
    <r>
      <rPr>
        <sz val="10"/>
        <rFont val="WenQuanYi Zen Hei"/>
        <family val="2"/>
      </rPr>
      <t xml:space="preserve">分钟测试与 </t>
    </r>
    <r>
      <rPr>
        <sz val="10"/>
        <rFont val="Arial"/>
        <family val="0"/>
        <charset val="1"/>
      </rPr>
      <t xml:space="preserve">BrainScan </t>
    </r>
    <r>
      <rPr>
        <sz val="10"/>
        <rFont val="WenQuanYi Zen Hei"/>
        <family val="2"/>
      </rPr>
      <t xml:space="preserve">有什么不同？</t>
    </r>
  </si>
  <si>
    <t xml:space="preserve">Answer 2</t>
  </si>
  <si>
    <t xml:space="preserve">This quiz is a free, educational estimate based on your modifiable risk factors. BrainScan is the full assessment, validated in peer-reviewed research, that shows how your brain is actually performing.</t>
  </si>
  <si>
    <r>
      <rPr>
        <sz val="10"/>
        <rFont val="WenQuanYi Zen Hei"/>
        <family val="2"/>
      </rPr>
      <t xml:space="preserve">这个测试是免费的科普性估算，依据的是您可改变的风险因素。</t>
    </r>
    <r>
      <rPr>
        <sz val="10"/>
        <rFont val="Arial"/>
        <family val="0"/>
        <charset val="1"/>
      </rPr>
      <t xml:space="preserve">BrainScan </t>
    </r>
    <r>
      <rPr>
        <sz val="10"/>
        <rFont val="WenQuanYi Zen Hei"/>
        <family val="2"/>
      </rPr>
      <t xml:space="preserve">才是完整评估，已在同行评审研究中获得验证，显示您的大脑实际表现如何。</t>
    </r>
  </si>
  <si>
    <t xml:space="preserve">Question 3</t>
  </si>
  <si>
    <t xml:space="preserve">Is this assessment legit?</t>
  </si>
  <si>
    <t xml:space="preserve">这项评估可靠吗？</t>
  </si>
  <si>
    <t xml:space="preserve">Answer 3</t>
  </si>
  <si>
    <t xml:space="preserve">Yes. BrainScan was developed and validated at NTU's Lee Kong Chian School of Medicine, Dementia Research Centre, and is registered with Singapore's HSA.</t>
  </si>
  <si>
    <r>
      <rPr>
        <sz val="10"/>
        <rFont val="WenQuanYi Zen Hei"/>
        <family val="2"/>
      </rPr>
      <t xml:space="preserve">可靠。</t>
    </r>
    <r>
      <rPr>
        <sz val="10"/>
        <rFont val="Arial"/>
        <family val="0"/>
        <charset val="1"/>
      </rPr>
      <t xml:space="preserve">BrainScan </t>
    </r>
    <r>
      <rPr>
        <sz val="10"/>
        <rFont val="WenQuanYi Zen Hei"/>
        <family val="2"/>
      </rPr>
      <t xml:space="preserve">由南洋理工大学李光前医学院痴呆症研究中心开发并验证，并已在新加坡卫生科学局注册。</t>
    </r>
  </si>
  <si>
    <t xml:space="preserve">Question 4</t>
  </si>
  <si>
    <t xml:space="preserve">Who is it for?</t>
  </si>
  <si>
    <t xml:space="preserve">适合什么人？</t>
  </si>
  <si>
    <t xml:space="preserve">Answer 4</t>
  </si>
  <si>
    <t xml:space="preserve">Anyone staying ahead of their brain health: whether you want to maintain peak cognitive performance, you're navigating hormonal changes, or you're supporting a loved one living with dementia.</t>
  </si>
  <si>
    <t xml:space="preserve">任何想提早掌握自己脑健康状况的人：无论您想保持巅峰认知表现、正在经历荷尔蒙变化，还是在照顾患有痴呆症的亲人。</t>
  </si>
  <si>
    <t xml:space="preserve">Question 5</t>
  </si>
  <si>
    <t xml:space="preserve">What should I expect next?</t>
  </si>
  <si>
    <t xml:space="preserve">接下来会怎样？</t>
  </si>
  <si>
    <t xml:space="preserve">Answer 5</t>
  </si>
  <si>
    <t xml:space="preserve">Download your offer proof and show it at the front desk to claim the discounted assessment. The test itself runs in a browser and takes about ten minutes.</t>
  </si>
  <si>
    <t xml:space="preserve">下载您的优惠凭证，在前台出示即可享受折扣评估。测试本身在浏览器中进行，约需十分钟。</t>
  </si>
  <si>
    <t xml:space="preserve">Disclaimer</t>
  </si>
  <si>
    <t xml:space="preserve">This report is intended for wellness screening and educational purposes only. It does not diagnose medical disease or replace professional medical evaluation. Findings should be interpreted together with clinical consultation, lifestyle assessment, and where appropriate, biomedical evaluation.</t>
  </si>
  <si>
    <t xml:space="preserve">本报告仅供健康筛查与科普用途，不构成疾病诊断，也不能取代专业医疗评估。结果应结合临床问诊、生活方式评估，并在必要时结合生理医学检查一并解读。</t>
  </si>
</sst>
</file>

<file path=xl/styles.xml><?xml version="1.0" encoding="utf-8"?>
<styleSheet xmlns="http://schemas.openxmlformats.org/spreadsheetml/2006/main">
  <numFmts count="3">
    <numFmt numFmtId="164" formatCode="General"/>
    <numFmt numFmtId="165" formatCode="General"/>
    <numFmt numFmtId="166" formatCode="0%"/>
  </numFmts>
  <fonts count="18">
    <font>
      <sz val="11"/>
      <color theme="1"/>
      <name val="Calibri"/>
      <family val="2"/>
      <charset val="1"/>
    </font>
    <font>
      <sz val="10"/>
      <name val="Arial"/>
      <family val="0"/>
    </font>
    <font>
      <sz val="10"/>
      <name val="Arial"/>
      <family val="0"/>
    </font>
    <font>
      <sz val="10"/>
      <name val="Arial"/>
      <family val="0"/>
    </font>
    <font>
      <b val="true"/>
      <sz val="16"/>
      <color rgb="FF1F3864"/>
      <name val="Arial"/>
      <family val="0"/>
      <charset val="1"/>
    </font>
    <font>
      <b val="true"/>
      <sz val="16"/>
      <color rgb="FF1F3864"/>
      <name val="WenQuanYi Zen Hei"/>
      <family val="2"/>
    </font>
    <font>
      <sz val="10"/>
      <color rgb="FF595959"/>
      <name val="Arial"/>
      <family val="0"/>
      <charset val="1"/>
    </font>
    <font>
      <b val="true"/>
      <sz val="12"/>
      <color rgb="FF1F3864"/>
      <name val="Arial"/>
      <family val="0"/>
      <charset val="1"/>
    </font>
    <font>
      <b val="true"/>
      <sz val="10"/>
      <name val="Arial"/>
      <family val="0"/>
      <charset val="1"/>
    </font>
    <font>
      <sz val="10"/>
      <name val="Arial"/>
      <family val="0"/>
      <charset val="1"/>
    </font>
    <font>
      <sz val="10"/>
      <name val="WenQuanYi Zen Hei"/>
      <family val="2"/>
    </font>
    <font>
      <b val="true"/>
      <sz val="14"/>
      <color rgb="FF1F3864"/>
      <name val="Arial"/>
      <family val="0"/>
      <charset val="1"/>
    </font>
    <font>
      <i val="true"/>
      <sz val="10"/>
      <color rgb="FF595959"/>
      <name val="Arial"/>
      <family val="0"/>
      <charset val="1"/>
    </font>
    <font>
      <b val="true"/>
      <sz val="10"/>
      <color rgb="FFFFFFFF"/>
      <name val="Arial"/>
      <family val="0"/>
      <charset val="1"/>
    </font>
    <font>
      <b val="true"/>
      <sz val="14"/>
      <color rgb="FF1F3864"/>
      <name val="WenQuanYi Zen Hei"/>
      <family val="2"/>
    </font>
    <font>
      <b val="true"/>
      <sz val="10"/>
      <color rgb="FFFFFFFF"/>
      <name val="WenQuanYi Zen Hei"/>
      <family val="2"/>
    </font>
    <font>
      <i val="true"/>
      <sz val="10"/>
      <color rgb="FF595959"/>
      <name val="WenQuanYi Zen Hei"/>
      <family val="2"/>
    </font>
    <font>
      <b val="true"/>
      <sz val="10"/>
      <color rgb="FF9C0006"/>
      <name val="Arial"/>
      <family val="0"/>
      <charset val="1"/>
    </font>
  </fonts>
  <fills count="10">
    <fill>
      <patternFill patternType="none"/>
    </fill>
    <fill>
      <patternFill patternType="gray125"/>
    </fill>
    <fill>
      <patternFill patternType="solid">
        <fgColor rgb="FFFFF9DB"/>
        <bgColor rgb="FFFDECEA"/>
      </patternFill>
    </fill>
    <fill>
      <patternFill patternType="solid">
        <fgColor rgb="FFEDEDED"/>
        <bgColor rgb="FFFDECEA"/>
      </patternFill>
    </fill>
    <fill>
      <patternFill patternType="solid">
        <fgColor rgb="FFFCE4D6"/>
        <bgColor rgb="FFFDECEA"/>
      </patternFill>
    </fill>
    <fill>
      <patternFill patternType="solid">
        <fgColor rgb="FFFDECEA"/>
        <bgColor rgb="FFEDEDED"/>
      </patternFill>
    </fill>
    <fill>
      <patternFill patternType="solid">
        <fgColor rgb="FF1F3864"/>
        <bgColor rgb="FF333333"/>
      </patternFill>
    </fill>
    <fill>
      <patternFill patternType="solid">
        <fgColor rgb="FFD9E1F2"/>
        <bgColor rgb="FFD9D9D9"/>
      </patternFill>
    </fill>
    <fill>
      <patternFill patternType="solid">
        <fgColor rgb="FFFFFFFF"/>
        <bgColor rgb="FFF3F7FC"/>
      </patternFill>
    </fill>
    <fill>
      <patternFill patternType="solid">
        <fgColor rgb="FFF3F7FC"/>
        <bgColor rgb="FFFFFFFF"/>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fals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9" fillId="2" borderId="0" xfId="0" applyFont="true" applyBorder="false" applyAlignment="true" applyProtection="false">
      <alignment horizontal="general" vertical="top" textRotation="0" wrapText="tru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xf numFmtId="164" fontId="10" fillId="2" borderId="0" xfId="0" applyFont="true" applyBorder="false" applyAlignment="true" applyProtection="false">
      <alignment horizontal="general" vertical="top" textRotation="0" wrapText="true" indent="0" shrinkToFit="false"/>
      <protection locked="true" hidden="false"/>
    </xf>
    <xf numFmtId="164" fontId="8" fillId="3" borderId="0" xfId="0" applyFont="true" applyBorder="false" applyAlignment="true" applyProtection="false">
      <alignment horizontal="general" vertical="top" textRotation="0" wrapText="false" indent="0" shrinkToFit="false"/>
      <protection locked="true" hidden="false"/>
    </xf>
    <xf numFmtId="164" fontId="9" fillId="3" borderId="0" xfId="0" applyFont="true" applyBorder="false" applyAlignment="true" applyProtection="false">
      <alignment horizontal="general" vertical="top" textRotation="0" wrapText="true" indent="0" shrinkToFit="false"/>
      <protection locked="true" hidden="false"/>
    </xf>
    <xf numFmtId="164" fontId="8" fillId="4" borderId="0" xfId="0" applyFont="true" applyBorder="false" applyAlignment="true" applyProtection="false">
      <alignment horizontal="general" vertical="top" textRotation="0" wrapText="false" indent="0" shrinkToFit="false"/>
      <protection locked="true" hidden="false"/>
    </xf>
    <xf numFmtId="164" fontId="9" fillId="4" borderId="0" xfId="0" applyFont="true" applyBorder="false" applyAlignment="true" applyProtection="false">
      <alignment horizontal="general" vertical="top" textRotation="0" wrapText="true" indent="0" shrinkToFit="false"/>
      <protection locked="true" hidden="false"/>
    </xf>
    <xf numFmtId="164" fontId="8" fillId="5" borderId="0" xfId="0" applyFont="true" applyBorder="false" applyAlignment="true" applyProtection="false">
      <alignment horizontal="general" vertical="top" textRotation="0" wrapText="false" indent="0" shrinkToFit="false"/>
      <protection locked="true" hidden="false"/>
    </xf>
    <xf numFmtId="164" fontId="9" fillId="5" borderId="0" xfId="0" applyFont="true" applyBorder="false" applyAlignment="true" applyProtection="false">
      <alignment horizontal="general" vertical="top" textRotation="0" wrapText="tru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6" borderId="1" xfId="0" applyFont="true" applyBorder="true" applyAlignment="true" applyProtection="false">
      <alignment horizontal="left" vertical="center" textRotation="0" wrapText="true" indent="0" shrinkToFit="false"/>
      <protection locked="true" hidden="false"/>
    </xf>
    <xf numFmtId="164" fontId="13" fillId="6" borderId="1" xfId="0" applyFont="true" applyBorder="true" applyAlignment="true" applyProtection="false">
      <alignment horizontal="center" vertical="center" textRotation="0" wrapText="true" indent="0" shrinkToFit="false"/>
      <protection locked="true" hidden="false"/>
    </xf>
    <xf numFmtId="164" fontId="9" fillId="0" borderId="1" xfId="0" applyFont="true" applyBorder="true" applyAlignment="true" applyProtection="false">
      <alignment horizontal="left" vertical="center" textRotation="0" wrapText="false" indent="0" shrinkToFit="false"/>
      <protection locked="true" hidden="false"/>
    </xf>
    <xf numFmtId="165" fontId="9" fillId="0" borderId="1" xfId="0" applyFont="true" applyBorder="true" applyAlignment="true" applyProtection="false">
      <alignment horizontal="center" vertical="center" textRotation="0" wrapText="false" indent="0" shrinkToFit="false"/>
      <protection locked="true" hidden="false"/>
    </xf>
    <xf numFmtId="166" fontId="9" fillId="0" borderId="1" xfId="0" applyFont="true" applyBorder="true" applyAlignment="true" applyProtection="false">
      <alignment horizontal="center" vertical="center" textRotation="0" wrapText="false" indent="0" shrinkToFit="false"/>
      <protection locked="true" hidden="false"/>
    </xf>
    <xf numFmtId="164" fontId="8" fillId="7" borderId="1" xfId="0" applyFont="true" applyBorder="true" applyAlignment="true" applyProtection="false">
      <alignment horizontal="left" vertical="center" textRotation="0" wrapText="false" indent="0" shrinkToFit="false"/>
      <protection locked="true" hidden="false"/>
    </xf>
    <xf numFmtId="165" fontId="8" fillId="7" borderId="1" xfId="0" applyFont="true" applyBorder="true" applyAlignment="true" applyProtection="false">
      <alignment horizontal="center" vertical="center" textRotation="0" wrapText="false" indent="0" shrinkToFit="false"/>
      <protection locked="true" hidden="false"/>
    </xf>
    <xf numFmtId="166" fontId="8" fillId="7" borderId="1" xfId="0" applyFont="true" applyBorder="true" applyAlignment="true" applyProtection="false">
      <alignment horizontal="center" vertical="center" textRotation="0" wrapText="false" indent="0" shrinkToFit="false"/>
      <protection locked="true" hidden="false"/>
    </xf>
    <xf numFmtId="164" fontId="13" fillId="6" borderId="1" xfId="0" applyFont="true" applyBorder="true" applyAlignment="true" applyProtection="false">
      <alignment horizontal="general" vertical="center" textRotation="0" wrapText="true" indent="0" shrinkToFit="false"/>
      <protection locked="true" hidden="false"/>
    </xf>
    <xf numFmtId="164" fontId="9" fillId="8" borderId="1" xfId="0" applyFont="true" applyBorder="true" applyAlignment="true" applyProtection="false">
      <alignment horizontal="center" vertical="top" textRotation="0" wrapText="false" indent="0" shrinkToFit="false"/>
      <protection locked="true" hidden="false"/>
    </xf>
    <xf numFmtId="164" fontId="9" fillId="8" borderId="1" xfId="0" applyFont="true" applyBorder="true" applyAlignment="true" applyProtection="false">
      <alignment horizontal="general" vertical="top" textRotation="0" wrapText="true" indent="0" shrinkToFit="false"/>
      <protection locked="true" hidden="false"/>
    </xf>
    <xf numFmtId="164" fontId="10" fillId="8" borderId="1" xfId="0" applyFont="true" applyBorder="true" applyAlignment="true" applyProtection="false">
      <alignment horizontal="general" vertical="top" textRotation="0" wrapText="true" indent="0" shrinkToFit="false"/>
      <protection locked="true" hidden="false"/>
    </xf>
    <xf numFmtId="164" fontId="9" fillId="2" borderId="1" xfId="0" applyFont="true" applyBorder="true" applyAlignment="true" applyProtection="false">
      <alignment horizontal="general" vertical="top" textRotation="0" wrapText="true" indent="0" shrinkToFit="false"/>
      <protection locked="true" hidden="false"/>
    </xf>
    <xf numFmtId="164" fontId="12" fillId="3" borderId="1" xfId="0" applyFont="true" applyBorder="true" applyAlignment="true" applyProtection="false">
      <alignment horizontal="center" vertical="top" textRotation="0" wrapText="false" indent="0" shrinkToFit="false"/>
      <protection locked="true" hidden="false"/>
    </xf>
    <xf numFmtId="164" fontId="12" fillId="3" borderId="1" xfId="0" applyFont="true" applyBorder="true" applyAlignment="true" applyProtection="false">
      <alignment horizontal="general" vertical="top" textRotation="0" wrapText="true" indent="0" shrinkToFit="false"/>
      <protection locked="true" hidden="false"/>
    </xf>
    <xf numFmtId="164" fontId="16" fillId="3" borderId="1" xfId="0" applyFont="true" applyBorder="true" applyAlignment="true" applyProtection="false">
      <alignment horizontal="general" vertical="top" textRotation="0" wrapText="true" indent="0" shrinkToFit="false"/>
      <protection locked="true" hidden="false"/>
    </xf>
    <xf numFmtId="164" fontId="17" fillId="3" borderId="1" xfId="0" applyFont="true" applyBorder="true" applyAlignment="true" applyProtection="false">
      <alignment horizontal="general" vertical="top" textRotation="0" wrapText="true" indent="0" shrinkToFit="false"/>
      <protection locked="true" hidden="false"/>
    </xf>
    <xf numFmtId="164" fontId="9" fillId="5" borderId="1" xfId="0" applyFont="true" applyBorder="true" applyAlignment="true" applyProtection="false">
      <alignment horizontal="general" vertical="top" textRotation="0" wrapText="true" indent="0" shrinkToFit="false"/>
      <protection locked="true" hidden="false"/>
    </xf>
    <xf numFmtId="164" fontId="10" fillId="5" borderId="1" xfId="0" applyFont="true" applyBorder="true" applyAlignment="true" applyProtection="false">
      <alignment horizontal="general" vertical="top" textRotation="0" wrapText="true" indent="0" shrinkToFit="false"/>
      <protection locked="true" hidden="false"/>
    </xf>
    <xf numFmtId="164" fontId="17" fillId="8" borderId="1" xfId="0" applyFont="true" applyBorder="true" applyAlignment="true" applyProtection="false">
      <alignment horizontal="general" vertical="top" textRotation="0" wrapText="true" indent="0" shrinkToFit="false"/>
      <protection locked="true" hidden="false"/>
    </xf>
    <xf numFmtId="164" fontId="9" fillId="9" borderId="1" xfId="0" applyFont="true" applyBorder="true" applyAlignment="true" applyProtection="false">
      <alignment horizontal="center" vertical="top" textRotation="0" wrapText="false" indent="0" shrinkToFit="false"/>
      <protection locked="true" hidden="false"/>
    </xf>
    <xf numFmtId="164" fontId="9" fillId="9" borderId="1" xfId="0" applyFont="true" applyBorder="true" applyAlignment="true" applyProtection="false">
      <alignment horizontal="general" vertical="top" textRotation="0" wrapText="true" indent="0" shrinkToFit="false"/>
      <protection locked="true" hidden="false"/>
    </xf>
    <xf numFmtId="164" fontId="10" fillId="9" borderId="1" xfId="0" applyFont="true" applyBorder="true" applyAlignment="true" applyProtection="false">
      <alignment horizontal="general" vertical="top" textRotation="0" wrapText="true" indent="0" shrinkToFit="false"/>
      <protection locked="true" hidden="false"/>
    </xf>
    <xf numFmtId="164" fontId="9" fillId="4"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3">
    <dxf>
      <fill>
        <patternFill patternType="solid">
          <fgColor rgb="FF1F3864"/>
          <bgColor rgb="FF000000"/>
        </patternFill>
      </fill>
    </dxf>
    <dxf>
      <fill>
        <patternFill patternType="solid">
          <fgColor rgb="FFEDEDED"/>
          <bgColor rgb="FF000000"/>
        </patternFill>
      </fill>
    </dxf>
    <dxf>
      <fill>
        <patternFill patternType="solid">
          <fgColor rgb="FFF3F7FC"/>
          <bgColor rgb="FF000000"/>
        </patternFill>
      </fill>
    </dxf>
    <dxf>
      <fill>
        <patternFill patternType="solid">
          <fgColor rgb="FFFFFFFF"/>
          <bgColor rgb="FF000000"/>
        </patternFill>
      </fill>
    </dxf>
    <dxf>
      <fill>
        <patternFill patternType="solid">
          <fgColor rgb="FF595959"/>
          <bgColor rgb="FF000000"/>
        </patternFill>
      </fill>
    </dxf>
    <dxf>
      <fill>
        <patternFill patternType="solid">
          <bgColor rgb="FF000000"/>
        </patternFill>
      </fill>
    </dxf>
    <dxf>
      <fill>
        <patternFill patternType="solid">
          <fgColor rgb="FFFDECEA"/>
          <bgColor rgb="FF000000"/>
        </patternFill>
      </fill>
    </dxf>
    <dxf>
      <fill>
        <patternFill patternType="solid">
          <fgColor rgb="FFFCE4D6"/>
          <bgColor rgb="FF000000"/>
        </patternFill>
      </fill>
    </dxf>
    <dxf>
      <fill>
        <patternFill patternType="solid">
          <fgColor rgb="FF9C0006"/>
          <bgColor rgb="FF000000"/>
        </patternFill>
      </fill>
    </dxf>
    <dxf>
      <fill>
        <patternFill patternType="solid">
          <fgColor rgb="FFFFF9DB"/>
          <bgColor rgb="FF000000"/>
        </patternFill>
      </fill>
    </dxf>
    <dxf>
      <font>
        <name val="Arial"/>
        <charset val="1"/>
        <family val="0"/>
        <color rgb="FF006100"/>
      </font>
      <fill>
        <patternFill>
          <bgColor rgb="FFC6EFCE"/>
        </patternFill>
      </fill>
    </dxf>
    <dxf>
      <font>
        <name val="Arial"/>
        <charset val="1"/>
        <family val="0"/>
        <color rgb="FF9C0006"/>
      </font>
      <fill>
        <patternFill>
          <bgColor rgb="FFFFC7CE"/>
        </patternFill>
      </fill>
    </dxf>
    <dxf>
      <font>
        <name val="Arial"/>
        <charset val="1"/>
        <family val="0"/>
        <color rgb="FF9C5700"/>
      </font>
      <fill>
        <patternFill>
          <bgColor rgb="FFFFEB9C"/>
        </patternFill>
      </fill>
    </dxf>
  </dxfs>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D9E1F2"/>
      <rgbColor rgb="FF808080"/>
      <rgbColor rgb="FF9999FF"/>
      <rgbColor rgb="FF993366"/>
      <rgbColor rgb="FFFFF9DB"/>
      <rgbColor rgb="FFF3F7FC"/>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EDEDED"/>
      <rgbColor rgb="FFC6EFCE"/>
      <rgbColor rgb="FFFFEB9C"/>
      <rgbColor rgb="FFFDECEA"/>
      <rgbColor rgb="FFFCE4D6"/>
      <rgbColor rgb="FFCC99FF"/>
      <rgbColor rgb="FFFFC7CE"/>
      <rgbColor rgb="FF3366FF"/>
      <rgbColor rgb="FF33CCCC"/>
      <rgbColor rgb="FF99CC00"/>
      <rgbColor rgb="FFFFCC00"/>
      <rgbColor rgb="FFFF9900"/>
      <rgbColor rgb="FFFF6600"/>
      <rgbColor rgb="FF595959"/>
      <rgbColor rgb="FF969696"/>
      <rgbColor rgb="FF1F3864"/>
      <rgbColor rgb="FF339966"/>
      <rgbColor rgb="FF003300"/>
      <rgbColor rgb="FF333300"/>
      <rgbColor rgb="FF9C57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3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6"/>
    <col collapsed="false" customWidth="true" hidden="false" outlineLevel="0" max="2" min="2" style="0" width="100"/>
  </cols>
  <sheetData>
    <row r="1" customFormat="false" ht="20.85" hidden="false" customHeight="false" outlineLevel="0" collapsed="false">
      <c r="A1" s="1" t="s">
        <v>0</v>
      </c>
    </row>
    <row r="2" customFormat="false" ht="30" hidden="false" customHeight="true" outlineLevel="0" collapsed="false">
      <c r="A2" s="2" t="s">
        <v>1</v>
      </c>
      <c r="B2" s="2"/>
    </row>
    <row r="4" customFormat="false" ht="15" hidden="false" customHeight="false" outlineLevel="0" collapsed="false">
      <c r="A4" s="3" t="s">
        <v>2</v>
      </c>
    </row>
    <row r="5" customFormat="false" ht="27.75" hidden="false" customHeight="true" outlineLevel="0" collapsed="false">
      <c r="A5" s="4" t="s">
        <v>3</v>
      </c>
      <c r="B5" s="5" t="s">
        <v>4</v>
      </c>
    </row>
    <row r="6" customFormat="false" ht="15" hidden="false" customHeight="true" outlineLevel="0" collapsed="false">
      <c r="A6" s="4" t="s">
        <v>5</v>
      </c>
      <c r="B6" s="5" t="s">
        <v>6</v>
      </c>
    </row>
    <row r="7" customFormat="false" ht="27.75" hidden="false" customHeight="true" outlineLevel="0" collapsed="false">
      <c r="A7" s="4" t="s">
        <v>7</v>
      </c>
      <c r="B7" s="5" t="s">
        <v>8</v>
      </c>
    </row>
    <row r="8" customFormat="false" ht="15" hidden="false" customHeight="true" outlineLevel="0" collapsed="false">
      <c r="A8" s="4" t="s">
        <v>9</v>
      </c>
      <c r="B8" s="5" t="s">
        <v>10</v>
      </c>
    </row>
    <row r="9" customFormat="false" ht="27.75" hidden="false" customHeight="true" outlineLevel="0" collapsed="false">
      <c r="A9" s="4" t="s">
        <v>11</v>
      </c>
      <c r="B9" s="6" t="s">
        <v>12</v>
      </c>
    </row>
    <row r="11" customFormat="false" ht="15" hidden="false" customHeight="false" outlineLevel="0" collapsed="false">
      <c r="A11" s="3" t="s">
        <v>13</v>
      </c>
    </row>
    <row r="12" customFormat="false" ht="15" hidden="false" customHeight="true" outlineLevel="0" collapsed="false">
      <c r="A12" s="4" t="s">
        <v>14</v>
      </c>
      <c r="B12" s="5" t="s">
        <v>15</v>
      </c>
    </row>
    <row r="13" customFormat="false" ht="15" hidden="false" customHeight="true" outlineLevel="0" collapsed="false">
      <c r="A13" s="4" t="s">
        <v>16</v>
      </c>
      <c r="B13" s="7" t="s">
        <v>17</v>
      </c>
    </row>
    <row r="14" customFormat="false" ht="15" hidden="false" customHeight="true" outlineLevel="0" collapsed="false">
      <c r="A14" s="4" t="s">
        <v>18</v>
      </c>
      <c r="B14" s="6" t="s">
        <v>19</v>
      </c>
    </row>
    <row r="15" customFormat="false" ht="15" hidden="false" customHeight="true" outlineLevel="0" collapsed="false">
      <c r="A15" s="4" t="s">
        <v>20</v>
      </c>
      <c r="B15" s="8" t="s">
        <v>21</v>
      </c>
    </row>
    <row r="16" customFormat="false" ht="15" hidden="false" customHeight="true" outlineLevel="0" collapsed="false">
      <c r="A16" s="4" t="s">
        <v>22</v>
      </c>
      <c r="B16" s="6" t="s">
        <v>23</v>
      </c>
    </row>
    <row r="18" customFormat="false" ht="15" hidden="false" customHeight="false" outlineLevel="0" collapsed="false">
      <c r="A18" s="3" t="s">
        <v>24</v>
      </c>
    </row>
    <row r="19" customFormat="false" ht="27.75" hidden="false" customHeight="true" outlineLevel="0" collapsed="false">
      <c r="A19" s="4" t="s">
        <v>25</v>
      </c>
      <c r="B19" s="5" t="s">
        <v>26</v>
      </c>
    </row>
    <row r="20" customFormat="false" ht="42" hidden="false" customHeight="true" outlineLevel="0" collapsed="false">
      <c r="A20" s="9" t="s">
        <v>27</v>
      </c>
      <c r="B20" s="10" t="s">
        <v>28</v>
      </c>
    </row>
    <row r="21" customFormat="false" ht="27.75" hidden="false" customHeight="true" outlineLevel="0" collapsed="false">
      <c r="A21" s="4" t="s">
        <v>29</v>
      </c>
      <c r="B21" s="5" t="s">
        <v>30</v>
      </c>
    </row>
    <row r="22" customFormat="false" ht="42" hidden="false" customHeight="true" outlineLevel="0" collapsed="false">
      <c r="A22" s="11" t="s">
        <v>31</v>
      </c>
      <c r="B22" s="12" t="s">
        <v>32</v>
      </c>
    </row>
    <row r="23" customFormat="false" ht="42" hidden="false" customHeight="true" outlineLevel="0" collapsed="false">
      <c r="A23" s="13" t="s">
        <v>33</v>
      </c>
      <c r="B23" s="14" t="s">
        <v>34</v>
      </c>
    </row>
    <row r="24" customFormat="false" ht="27.75" hidden="false" customHeight="true" outlineLevel="0" collapsed="false">
      <c r="A24" s="4" t="s">
        <v>35</v>
      </c>
      <c r="B24" s="5" t="s">
        <v>36</v>
      </c>
    </row>
    <row r="25" customFormat="false" ht="27.75" hidden="false" customHeight="true" outlineLevel="0" collapsed="false">
      <c r="A25" s="4" t="s">
        <v>37</v>
      </c>
      <c r="B25" s="5" t="s">
        <v>38</v>
      </c>
    </row>
    <row r="26" customFormat="false" ht="27.75" hidden="false" customHeight="true" outlineLevel="0" collapsed="false">
      <c r="A26" s="4" t="s">
        <v>39</v>
      </c>
      <c r="B26" s="5" t="s">
        <v>40</v>
      </c>
    </row>
    <row r="28" customFormat="false" ht="15" hidden="false" customHeight="false" outlineLevel="0" collapsed="false">
      <c r="A28" s="3" t="s">
        <v>41</v>
      </c>
    </row>
    <row r="29" customFormat="false" ht="27.75" hidden="false" customHeight="true" outlineLevel="0" collapsed="false">
      <c r="A29" s="4" t="s">
        <v>42</v>
      </c>
      <c r="B29" s="5" t="s">
        <v>43</v>
      </c>
    </row>
    <row r="30" customFormat="false" ht="15" hidden="false" customHeight="true" outlineLevel="0" collapsed="false">
      <c r="A30" s="4" t="s">
        <v>44</v>
      </c>
      <c r="B30" s="5" t="s">
        <v>45</v>
      </c>
    </row>
    <row r="32" customFormat="false" ht="15" hidden="false" customHeight="false" outlineLevel="0" collapsed="false">
      <c r="A32" s="3" t="s">
        <v>46</v>
      </c>
    </row>
    <row r="33" customFormat="false" ht="27.75" hidden="false" customHeight="true" outlineLevel="0" collapsed="false">
      <c r="A33" s="4" t="s">
        <v>47</v>
      </c>
      <c r="B33" s="5" t="s">
        <v>48</v>
      </c>
    </row>
    <row r="34" customFormat="false" ht="27.75" hidden="false" customHeight="true" outlineLevel="0" collapsed="false">
      <c r="A34" s="4" t="s">
        <v>49</v>
      </c>
      <c r="B34" s="5" t="s">
        <v>50</v>
      </c>
    </row>
  </sheetData>
  <mergeCells count="1">
    <mergeCell ref="A2:B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50"/>
    <col collapsed="false" customWidth="true" hidden="false" outlineLevel="0" max="2" min="2" style="0" width="10"/>
    <col collapsed="false" customWidth="true" hidden="false" outlineLevel="0" max="3" min="3" style="0" width="12"/>
    <col collapsed="false" customWidth="true" hidden="false" outlineLevel="0" max="4" min="4" style="0" width="10"/>
    <col collapsed="false" customWidth="true" hidden="false" outlineLevel="0" max="5" min="5" style="0" width="14"/>
    <col collapsed="false" customWidth="true" hidden="false" outlineLevel="0" max="7" min="6" style="0" width="12"/>
  </cols>
  <sheetData>
    <row r="1" customFormat="false" ht="17.35" hidden="false" customHeight="false" outlineLevel="0" collapsed="false">
      <c r="A1" s="15" t="s">
        <v>51</v>
      </c>
    </row>
    <row r="2" customFormat="false" ht="15" hidden="false" customHeight="false" outlineLevel="0" collapsed="false">
      <c r="A2" s="16" t="s">
        <v>52</v>
      </c>
    </row>
    <row r="4" customFormat="false" ht="31.5" hidden="false" customHeight="true" outlineLevel="0" collapsed="false">
      <c r="A4" s="17" t="s">
        <v>53</v>
      </c>
      <c r="B4" s="18" t="s">
        <v>54</v>
      </c>
      <c r="C4" s="18" t="s">
        <v>55</v>
      </c>
      <c r="D4" s="18" t="s">
        <v>56</v>
      </c>
      <c r="E4" s="18" t="s">
        <v>57</v>
      </c>
      <c r="F4" s="18" t="s">
        <v>58</v>
      </c>
      <c r="G4" s="18" t="s">
        <v>59</v>
      </c>
    </row>
    <row r="5" customFormat="false" ht="15" hidden="false" customHeight="false" outlineLevel="0" collapsed="false">
      <c r="A5" s="19" t="s">
        <v>60</v>
      </c>
      <c r="B5" s="20" t="n">
        <f aca="false">COUNTIFS(Translations!$B$5:$B$487,$A5,Translations!$A$5:$A$487,"&gt;0")</f>
        <v>44</v>
      </c>
      <c r="C5" s="20" t="n">
        <f aca="false">D5+E5+F5</f>
        <v>0</v>
      </c>
      <c r="D5" s="20" t="n">
        <f aca="false">COUNTIFS(Translations!$B$5:$B$487,$A5,Translations!$A$5:$A$487,"&gt;0",Translations!$I$5:$I$487,"OK")</f>
        <v>0</v>
      </c>
      <c r="E5" s="20" t="n">
        <f aca="false">COUNTIFS(Translations!$B$5:$B$487,$A5,Translations!$A$5:$A$487,"&gt;0",Translations!$I$5:$I$487,"Change needed")</f>
        <v>0</v>
      </c>
      <c r="F5" s="20" t="n">
        <f aca="false">COUNTIFS(Translations!$B$5:$B$487,$A5,Translations!$A$5:$A$487,"&gt;0",Translations!$I$5:$I$487,"Question")</f>
        <v>0</v>
      </c>
      <c r="G5" s="21" t="n">
        <f aca="false">IF($B5=0,0,C5/$B5)</f>
        <v>0</v>
      </c>
    </row>
    <row r="6" customFormat="false" ht="15" hidden="false" customHeight="false" outlineLevel="0" collapsed="false">
      <c r="A6" s="19" t="s">
        <v>61</v>
      </c>
      <c r="B6" s="20" t="n">
        <f aca="false">COUNTIFS(Translations!$B$5:$B$487,$A6,Translations!$A$5:$A$487,"&gt;0")</f>
        <v>13</v>
      </c>
      <c r="C6" s="20" t="n">
        <f aca="false">D6+E6+F6</f>
        <v>0</v>
      </c>
      <c r="D6" s="20" t="n">
        <f aca="false">COUNTIFS(Translations!$B$5:$B$487,$A6,Translations!$A$5:$A$487,"&gt;0",Translations!$I$5:$I$487,"OK")</f>
        <v>0</v>
      </c>
      <c r="E6" s="20" t="n">
        <f aca="false">COUNTIFS(Translations!$B$5:$B$487,$A6,Translations!$A$5:$A$487,"&gt;0",Translations!$I$5:$I$487,"Change needed")</f>
        <v>0</v>
      </c>
      <c r="F6" s="20" t="n">
        <f aca="false">COUNTIFS(Translations!$B$5:$B$487,$A6,Translations!$A$5:$A$487,"&gt;0",Translations!$I$5:$I$487,"Question")</f>
        <v>0</v>
      </c>
      <c r="G6" s="21" t="n">
        <f aca="false">IF($B6=0,0,C6/$B6)</f>
        <v>0</v>
      </c>
    </row>
    <row r="7" customFormat="false" ht="15" hidden="false" customHeight="false" outlineLevel="0" collapsed="false">
      <c r="A7" s="19" t="s">
        <v>62</v>
      </c>
      <c r="B7" s="20" t="n">
        <f aca="false">COUNTIFS(Translations!$B$5:$B$487,$A7,Translations!$A$5:$A$487,"&gt;0")</f>
        <v>8</v>
      </c>
      <c r="C7" s="20" t="n">
        <f aca="false">D7+E7+F7</f>
        <v>0</v>
      </c>
      <c r="D7" s="20" t="n">
        <f aca="false">COUNTIFS(Translations!$B$5:$B$487,$A7,Translations!$A$5:$A$487,"&gt;0",Translations!$I$5:$I$487,"OK")</f>
        <v>0</v>
      </c>
      <c r="E7" s="20" t="n">
        <f aca="false">COUNTIFS(Translations!$B$5:$B$487,$A7,Translations!$A$5:$A$487,"&gt;0",Translations!$I$5:$I$487,"Change needed")</f>
        <v>0</v>
      </c>
      <c r="F7" s="20" t="n">
        <f aca="false">COUNTIFS(Translations!$B$5:$B$487,$A7,Translations!$A$5:$A$487,"&gt;0",Translations!$I$5:$I$487,"Question")</f>
        <v>0</v>
      </c>
      <c r="G7" s="21" t="n">
        <f aca="false">IF($B7=0,0,C7/$B7)</f>
        <v>0</v>
      </c>
    </row>
    <row r="8" customFormat="false" ht="15" hidden="false" customHeight="false" outlineLevel="0" collapsed="false">
      <c r="A8" s="19" t="s">
        <v>63</v>
      </c>
      <c r="B8" s="20" t="n">
        <f aca="false">COUNTIFS(Translations!$B$5:$B$487,$A8,Translations!$A$5:$A$487,"&gt;0")</f>
        <v>28</v>
      </c>
      <c r="C8" s="20" t="n">
        <f aca="false">D8+E8+F8</f>
        <v>0</v>
      </c>
      <c r="D8" s="20" t="n">
        <f aca="false">COUNTIFS(Translations!$B$5:$B$487,$A8,Translations!$A$5:$A$487,"&gt;0",Translations!$I$5:$I$487,"OK")</f>
        <v>0</v>
      </c>
      <c r="E8" s="20" t="n">
        <f aca="false">COUNTIFS(Translations!$B$5:$B$487,$A8,Translations!$A$5:$A$487,"&gt;0",Translations!$I$5:$I$487,"Change needed")</f>
        <v>0</v>
      </c>
      <c r="F8" s="20" t="n">
        <f aca="false">COUNTIFS(Translations!$B$5:$B$487,$A8,Translations!$A$5:$A$487,"&gt;0",Translations!$I$5:$I$487,"Question")</f>
        <v>0</v>
      </c>
      <c r="G8" s="21" t="n">
        <f aca="false">IF($B8=0,0,C8/$B8)</f>
        <v>0</v>
      </c>
    </row>
    <row r="9" customFormat="false" ht="15" hidden="false" customHeight="false" outlineLevel="0" collapsed="false">
      <c r="A9" s="19" t="s">
        <v>64</v>
      </c>
      <c r="B9" s="20" t="n">
        <f aca="false">COUNTIFS(Translations!$B$5:$B$487,$A9,Translations!$A$5:$A$487,"&gt;0")</f>
        <v>7</v>
      </c>
      <c r="C9" s="20" t="n">
        <f aca="false">D9+E9+F9</f>
        <v>0</v>
      </c>
      <c r="D9" s="20" t="n">
        <f aca="false">COUNTIFS(Translations!$B$5:$B$487,$A9,Translations!$A$5:$A$487,"&gt;0",Translations!$I$5:$I$487,"OK")</f>
        <v>0</v>
      </c>
      <c r="E9" s="20" t="n">
        <f aca="false">COUNTIFS(Translations!$B$5:$B$487,$A9,Translations!$A$5:$A$487,"&gt;0",Translations!$I$5:$I$487,"Change needed")</f>
        <v>0</v>
      </c>
      <c r="F9" s="20" t="n">
        <f aca="false">COUNTIFS(Translations!$B$5:$B$487,$A9,Translations!$A$5:$A$487,"&gt;0",Translations!$I$5:$I$487,"Question")</f>
        <v>0</v>
      </c>
      <c r="G9" s="21" t="n">
        <f aca="false">IF($B9=0,0,C9/$B9)</f>
        <v>0</v>
      </c>
    </row>
    <row r="10" customFormat="false" ht="15" hidden="false" customHeight="false" outlineLevel="0" collapsed="false">
      <c r="A10" s="19" t="s">
        <v>65</v>
      </c>
      <c r="B10" s="20" t="n">
        <f aca="false">COUNTIFS(Translations!$B$5:$B$487,$A10,Translations!$A$5:$A$487,"&gt;0")</f>
        <v>114</v>
      </c>
      <c r="C10" s="20" t="n">
        <f aca="false">D10+E10+F10</f>
        <v>0</v>
      </c>
      <c r="D10" s="20" t="n">
        <f aca="false">COUNTIFS(Translations!$B$5:$B$487,$A10,Translations!$A$5:$A$487,"&gt;0",Translations!$I$5:$I$487,"OK")</f>
        <v>0</v>
      </c>
      <c r="E10" s="20" t="n">
        <f aca="false">COUNTIFS(Translations!$B$5:$B$487,$A10,Translations!$A$5:$A$487,"&gt;0",Translations!$I$5:$I$487,"Change needed")</f>
        <v>0</v>
      </c>
      <c r="F10" s="20" t="n">
        <f aca="false">COUNTIFS(Translations!$B$5:$B$487,$A10,Translations!$A$5:$A$487,"&gt;0",Translations!$I$5:$I$487,"Question")</f>
        <v>0</v>
      </c>
      <c r="G10" s="21" t="n">
        <f aca="false">IF($B10=0,0,C10/$B10)</f>
        <v>0</v>
      </c>
    </row>
    <row r="11" customFormat="false" ht="15" hidden="false" customHeight="false" outlineLevel="0" collapsed="false">
      <c r="A11" s="19" t="s">
        <v>66</v>
      </c>
      <c r="B11" s="20" t="n">
        <f aca="false">COUNTIFS(Translations!$B$5:$B$487,$A11,Translations!$A$5:$A$487,"&gt;0")</f>
        <v>9</v>
      </c>
      <c r="C11" s="20" t="n">
        <f aca="false">D11+E11+F11</f>
        <v>0</v>
      </c>
      <c r="D11" s="20" t="n">
        <f aca="false">COUNTIFS(Translations!$B$5:$B$487,$A11,Translations!$A$5:$A$487,"&gt;0",Translations!$I$5:$I$487,"OK")</f>
        <v>0</v>
      </c>
      <c r="E11" s="20" t="n">
        <f aca="false">COUNTIFS(Translations!$B$5:$B$487,$A11,Translations!$A$5:$A$487,"&gt;0",Translations!$I$5:$I$487,"Change needed")</f>
        <v>0</v>
      </c>
      <c r="F11" s="20" t="n">
        <f aca="false">COUNTIFS(Translations!$B$5:$B$487,$A11,Translations!$A$5:$A$487,"&gt;0",Translations!$I$5:$I$487,"Question")</f>
        <v>0</v>
      </c>
      <c r="G11" s="21" t="n">
        <f aca="false">IF($B11=0,0,C11/$B11)</f>
        <v>0</v>
      </c>
    </row>
    <row r="12" customFormat="false" ht="15" hidden="false" customHeight="false" outlineLevel="0" collapsed="false">
      <c r="A12" s="19" t="s">
        <v>67</v>
      </c>
      <c r="B12" s="20" t="n">
        <f aca="false">COUNTIFS(Translations!$B$5:$B$487,$A12,Translations!$A$5:$A$487,"&gt;0")</f>
        <v>203</v>
      </c>
      <c r="C12" s="20" t="n">
        <f aca="false">D12+E12+F12</f>
        <v>0</v>
      </c>
      <c r="D12" s="20" t="n">
        <f aca="false">COUNTIFS(Translations!$B$5:$B$487,$A12,Translations!$A$5:$A$487,"&gt;0",Translations!$I$5:$I$487,"OK")</f>
        <v>0</v>
      </c>
      <c r="E12" s="20" t="n">
        <f aca="false">COUNTIFS(Translations!$B$5:$B$487,$A12,Translations!$A$5:$A$487,"&gt;0",Translations!$I$5:$I$487,"Change needed")</f>
        <v>0</v>
      </c>
      <c r="F12" s="20" t="n">
        <f aca="false">COUNTIFS(Translations!$B$5:$B$487,$A12,Translations!$A$5:$A$487,"&gt;0",Translations!$I$5:$I$487,"Question")</f>
        <v>0</v>
      </c>
      <c r="G12" s="21" t="n">
        <f aca="false">IF($B12=0,0,C12/$B12)</f>
        <v>0</v>
      </c>
    </row>
    <row r="13" customFormat="false" ht="15" hidden="false" customHeight="false" outlineLevel="0" collapsed="false">
      <c r="A13" s="19" t="s">
        <v>68</v>
      </c>
      <c r="B13" s="20" t="n">
        <f aca="false">COUNTIFS(Translations!$B$5:$B$487,$A13,Translations!$A$5:$A$487,"&gt;0")</f>
        <v>37</v>
      </c>
      <c r="C13" s="20" t="n">
        <f aca="false">D13+E13+F13</f>
        <v>0</v>
      </c>
      <c r="D13" s="20" t="n">
        <f aca="false">COUNTIFS(Translations!$B$5:$B$487,$A13,Translations!$A$5:$A$487,"&gt;0",Translations!$I$5:$I$487,"OK")</f>
        <v>0</v>
      </c>
      <c r="E13" s="20" t="n">
        <f aca="false">COUNTIFS(Translations!$B$5:$B$487,$A13,Translations!$A$5:$A$487,"&gt;0",Translations!$I$5:$I$487,"Change needed")</f>
        <v>0</v>
      </c>
      <c r="F13" s="20" t="n">
        <f aca="false">COUNTIFS(Translations!$B$5:$B$487,$A13,Translations!$A$5:$A$487,"&gt;0",Translations!$I$5:$I$487,"Question")</f>
        <v>0</v>
      </c>
      <c r="G13" s="21" t="n">
        <f aca="false">IF($B13=0,0,C13/$B13)</f>
        <v>0</v>
      </c>
    </row>
    <row r="14" customFormat="false" ht="15" hidden="false" customHeight="false" outlineLevel="0" collapsed="false">
      <c r="A14" s="22" t="s">
        <v>69</v>
      </c>
      <c r="B14" s="23" t="n">
        <f aca="false">SUM(B5:B13)</f>
        <v>463</v>
      </c>
      <c r="C14" s="23" t="n">
        <f aca="false">SUM(C5:C13)</f>
        <v>0</v>
      </c>
      <c r="D14" s="23" t="n">
        <f aca="false">SUM(D5:D13)</f>
        <v>0</v>
      </c>
      <c r="E14" s="23" t="n">
        <f aca="false">SUM(E5:E13)</f>
        <v>0</v>
      </c>
      <c r="F14" s="23" t="n">
        <f aca="false">SUM(F5:F13)</f>
        <v>0</v>
      </c>
      <c r="G14" s="24" t="n">
        <f aca="false">IF($B14=0,0,C14/$B14)</f>
        <v>0</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K48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6"/>
    <col collapsed="false" customWidth="true" hidden="false" outlineLevel="0" max="3" min="2" style="0" width="18"/>
    <col collapsed="false" customWidth="true" hidden="false" outlineLevel="0" max="4" min="4" style="0" width="24"/>
    <col collapsed="false" customWidth="true" hidden="false" outlineLevel="0" max="5" min="5" style="0" width="20"/>
    <col collapsed="false" customWidth="true" hidden="false" outlineLevel="0" max="6" min="6" style="0" width="48"/>
    <col collapsed="false" customWidth="true" hidden="false" outlineLevel="0" max="7" min="7" style="0" width="46"/>
    <col collapsed="false" customWidth="true" hidden="false" outlineLevel="0" max="8" min="8" style="0" width="36"/>
    <col collapsed="false" customWidth="true" hidden="false" outlineLevel="0" max="9" min="9" style="0" width="15"/>
    <col collapsed="false" customWidth="true" hidden="false" outlineLevel="0" max="10" min="10" style="0" width="44"/>
    <col collapsed="false" customWidth="true" hidden="false" outlineLevel="0" max="11" min="11" style="0" width="32"/>
  </cols>
  <sheetData>
    <row r="1" customFormat="false" ht="19.4" hidden="false" customHeight="false" outlineLevel="0" collapsed="false">
      <c r="A1" s="15" t="s">
        <v>70</v>
      </c>
    </row>
    <row r="2" customFormat="false" ht="15" hidden="false" customHeight="false" outlineLevel="0" collapsed="false">
      <c r="A2" s="16" t="s">
        <v>71</v>
      </c>
    </row>
    <row r="4" customFormat="false" ht="30" hidden="false" customHeight="true" outlineLevel="0" collapsed="false">
      <c r="A4" s="25" t="s">
        <v>72</v>
      </c>
      <c r="B4" s="25" t="s">
        <v>53</v>
      </c>
      <c r="C4" s="25" t="s">
        <v>73</v>
      </c>
      <c r="D4" s="25" t="s">
        <v>74</v>
      </c>
      <c r="E4" s="25" t="s">
        <v>35</v>
      </c>
      <c r="F4" s="25" t="s">
        <v>75</v>
      </c>
      <c r="G4" s="25" t="s">
        <v>76</v>
      </c>
      <c r="H4" s="25" t="s">
        <v>77</v>
      </c>
      <c r="I4" s="25" t="s">
        <v>18</v>
      </c>
      <c r="J4" s="25" t="s">
        <v>20</v>
      </c>
      <c r="K4" s="25" t="s">
        <v>22</v>
      </c>
    </row>
    <row r="5" customFormat="false" ht="27" hidden="false" customHeight="true" outlineLevel="0" collapsed="false">
      <c r="A5" s="26" t="n">
        <v>1</v>
      </c>
      <c r="B5" s="27" t="s">
        <v>60</v>
      </c>
      <c r="C5" s="27" t="s">
        <v>78</v>
      </c>
      <c r="D5" s="27" t="s">
        <v>79</v>
      </c>
      <c r="E5" s="27"/>
      <c r="F5" s="27" t="s">
        <v>80</v>
      </c>
      <c r="G5" s="28" t="s">
        <v>81</v>
      </c>
      <c r="H5" s="27"/>
      <c r="I5" s="29"/>
      <c r="J5" s="29"/>
      <c r="K5" s="29"/>
    </row>
    <row r="6" customFormat="false" ht="40.5" hidden="false" customHeight="true" outlineLevel="0" collapsed="false">
      <c r="A6" s="26" t="n">
        <v>2</v>
      </c>
      <c r="B6" s="27" t="s">
        <v>60</v>
      </c>
      <c r="C6" s="27" t="s">
        <v>78</v>
      </c>
      <c r="D6" s="27" t="s">
        <v>82</v>
      </c>
      <c r="E6" s="27"/>
      <c r="F6" s="27" t="s">
        <v>83</v>
      </c>
      <c r="G6" s="28" t="s">
        <v>84</v>
      </c>
      <c r="H6" s="27" t="s">
        <v>85</v>
      </c>
      <c r="I6" s="29"/>
      <c r="J6" s="29"/>
      <c r="K6" s="29"/>
    </row>
    <row r="7" customFormat="false" ht="27" hidden="false" customHeight="true" outlineLevel="0" collapsed="false">
      <c r="A7" s="26" t="n">
        <v>3</v>
      </c>
      <c r="B7" s="27" t="s">
        <v>60</v>
      </c>
      <c r="C7" s="27" t="s">
        <v>78</v>
      </c>
      <c r="D7" s="27" t="s">
        <v>86</v>
      </c>
      <c r="E7" s="27"/>
      <c r="F7" s="27" t="s">
        <v>87</v>
      </c>
      <c r="G7" s="28" t="s">
        <v>88</v>
      </c>
      <c r="H7" s="27" t="s">
        <v>89</v>
      </c>
      <c r="I7" s="29"/>
      <c r="J7" s="29"/>
      <c r="K7" s="29"/>
    </row>
    <row r="8" customFormat="false" ht="27" hidden="false" customHeight="true" outlineLevel="0" collapsed="false">
      <c r="A8" s="26" t="n">
        <v>4</v>
      </c>
      <c r="B8" s="27" t="s">
        <v>60</v>
      </c>
      <c r="C8" s="27" t="s">
        <v>78</v>
      </c>
      <c r="D8" s="27" t="s">
        <v>90</v>
      </c>
      <c r="E8" s="27"/>
      <c r="F8" s="27" t="s">
        <v>91</v>
      </c>
      <c r="G8" s="28" t="s">
        <v>92</v>
      </c>
      <c r="H8" s="27" t="s">
        <v>93</v>
      </c>
      <c r="I8" s="29"/>
      <c r="J8" s="29"/>
      <c r="K8" s="29"/>
    </row>
    <row r="9" customFormat="false" ht="27" hidden="false" customHeight="true" outlineLevel="0" collapsed="false">
      <c r="A9" s="26" t="n">
        <v>5</v>
      </c>
      <c r="B9" s="27" t="s">
        <v>60</v>
      </c>
      <c r="C9" s="27" t="s">
        <v>94</v>
      </c>
      <c r="D9" s="27" t="s">
        <v>95</v>
      </c>
      <c r="E9" s="27"/>
      <c r="F9" s="27" t="s">
        <v>96</v>
      </c>
      <c r="G9" s="28" t="s">
        <v>97</v>
      </c>
      <c r="H9" s="27"/>
      <c r="I9" s="29"/>
      <c r="J9" s="29"/>
      <c r="K9" s="29"/>
    </row>
    <row r="10" customFormat="false" ht="54" hidden="false" customHeight="true" outlineLevel="0" collapsed="false">
      <c r="A10" s="30" t="s">
        <v>98</v>
      </c>
      <c r="B10" s="31" t="s">
        <v>60</v>
      </c>
      <c r="C10" s="31" t="s">
        <v>94</v>
      </c>
      <c r="D10" s="31" t="s">
        <v>99</v>
      </c>
      <c r="E10" s="31"/>
      <c r="F10" s="31" t="s">
        <v>100</v>
      </c>
      <c r="G10" s="32" t="s">
        <v>101</v>
      </c>
      <c r="H10" s="31" t="s">
        <v>102</v>
      </c>
      <c r="I10" s="31"/>
      <c r="J10" s="31"/>
      <c r="K10" s="29"/>
    </row>
    <row r="11" customFormat="false" ht="27" hidden="false" customHeight="true" outlineLevel="0" collapsed="false">
      <c r="A11" s="26" t="n">
        <v>6</v>
      </c>
      <c r="B11" s="27" t="s">
        <v>60</v>
      </c>
      <c r="C11" s="27" t="s">
        <v>94</v>
      </c>
      <c r="D11" s="27" t="s">
        <v>103</v>
      </c>
      <c r="E11" s="27"/>
      <c r="F11" s="27" t="s">
        <v>104</v>
      </c>
      <c r="G11" s="28" t="s">
        <v>105</v>
      </c>
      <c r="H11" s="27" t="s">
        <v>106</v>
      </c>
      <c r="I11" s="29"/>
      <c r="J11" s="29"/>
      <c r="K11" s="29"/>
    </row>
    <row r="12" customFormat="false" ht="27" hidden="false" customHeight="true" outlineLevel="0" collapsed="false">
      <c r="A12" s="26" t="n">
        <v>7</v>
      </c>
      <c r="B12" s="27" t="s">
        <v>60</v>
      </c>
      <c r="C12" s="27" t="s">
        <v>94</v>
      </c>
      <c r="D12" s="27" t="s">
        <v>107</v>
      </c>
      <c r="E12" s="27"/>
      <c r="F12" s="27" t="s">
        <v>108</v>
      </c>
      <c r="G12" s="28" t="s">
        <v>109</v>
      </c>
      <c r="H12" s="27" t="s">
        <v>110</v>
      </c>
      <c r="I12" s="29"/>
      <c r="J12" s="29"/>
      <c r="K12" s="29"/>
    </row>
    <row r="13" customFormat="false" ht="27" hidden="false" customHeight="true" outlineLevel="0" collapsed="false">
      <c r="A13" s="26" t="n">
        <v>8</v>
      </c>
      <c r="B13" s="27" t="s">
        <v>60</v>
      </c>
      <c r="C13" s="27" t="s">
        <v>94</v>
      </c>
      <c r="D13" s="27" t="s">
        <v>111</v>
      </c>
      <c r="E13" s="27"/>
      <c r="F13" s="27" t="s">
        <v>112</v>
      </c>
      <c r="G13" s="28" t="s">
        <v>113</v>
      </c>
      <c r="H13" s="27" t="s">
        <v>106</v>
      </c>
      <c r="I13" s="29"/>
      <c r="J13" s="29"/>
      <c r="K13" s="29"/>
    </row>
    <row r="14" customFormat="false" ht="27" hidden="false" customHeight="true" outlineLevel="0" collapsed="false">
      <c r="A14" s="26" t="n">
        <v>9</v>
      </c>
      <c r="B14" s="27" t="s">
        <v>60</v>
      </c>
      <c r="C14" s="27" t="s">
        <v>94</v>
      </c>
      <c r="D14" s="27" t="s">
        <v>114</v>
      </c>
      <c r="E14" s="27"/>
      <c r="F14" s="27" t="s">
        <v>115</v>
      </c>
      <c r="G14" s="28" t="s">
        <v>116</v>
      </c>
      <c r="H14" s="27" t="s">
        <v>110</v>
      </c>
      <c r="I14" s="29"/>
      <c r="J14" s="29"/>
      <c r="K14" s="29"/>
    </row>
    <row r="15" customFormat="false" ht="27" hidden="false" customHeight="true" outlineLevel="0" collapsed="false">
      <c r="A15" s="26" t="n">
        <v>10</v>
      </c>
      <c r="B15" s="27" t="s">
        <v>60</v>
      </c>
      <c r="C15" s="27" t="s">
        <v>94</v>
      </c>
      <c r="D15" s="27" t="s">
        <v>117</v>
      </c>
      <c r="E15" s="27"/>
      <c r="F15" s="27" t="s">
        <v>118</v>
      </c>
      <c r="G15" s="28" t="s">
        <v>119</v>
      </c>
      <c r="H15" s="27" t="s">
        <v>120</v>
      </c>
      <c r="I15" s="29"/>
      <c r="J15" s="29"/>
      <c r="K15" s="29"/>
    </row>
    <row r="16" customFormat="false" ht="27" hidden="false" customHeight="true" outlineLevel="0" collapsed="false">
      <c r="A16" s="26" t="n">
        <v>11</v>
      </c>
      <c r="B16" s="27" t="s">
        <v>60</v>
      </c>
      <c r="C16" s="27" t="s">
        <v>94</v>
      </c>
      <c r="D16" s="27" t="s">
        <v>121</v>
      </c>
      <c r="E16" s="27"/>
      <c r="F16" s="27" t="s">
        <v>122</v>
      </c>
      <c r="G16" s="28" t="s">
        <v>123</v>
      </c>
      <c r="H16" s="27"/>
      <c r="I16" s="29"/>
      <c r="J16" s="29"/>
      <c r="K16" s="29"/>
    </row>
    <row r="17" customFormat="false" ht="27" hidden="false" customHeight="true" outlineLevel="0" collapsed="false">
      <c r="A17" s="26" t="n">
        <v>12</v>
      </c>
      <c r="B17" s="27" t="s">
        <v>60</v>
      </c>
      <c r="C17" s="27" t="s">
        <v>124</v>
      </c>
      <c r="D17" s="27" t="s">
        <v>125</v>
      </c>
      <c r="E17" s="27"/>
      <c r="F17" s="27" t="s">
        <v>126</v>
      </c>
      <c r="G17" s="28" t="s">
        <v>127</v>
      </c>
      <c r="H17" s="27" t="s">
        <v>128</v>
      </c>
      <c r="I17" s="29"/>
      <c r="J17" s="29"/>
      <c r="K17" s="29"/>
    </row>
    <row r="18" customFormat="false" ht="67.5" hidden="false" customHeight="true" outlineLevel="0" collapsed="false">
      <c r="A18" s="26" t="n">
        <v>13</v>
      </c>
      <c r="B18" s="27" t="s">
        <v>60</v>
      </c>
      <c r="C18" s="27" t="s">
        <v>124</v>
      </c>
      <c r="D18" s="27" t="s">
        <v>129</v>
      </c>
      <c r="E18" s="27"/>
      <c r="F18" s="27" t="s">
        <v>14</v>
      </c>
      <c r="G18" s="28" t="s">
        <v>130</v>
      </c>
      <c r="H18" s="27" t="s">
        <v>131</v>
      </c>
      <c r="I18" s="29"/>
      <c r="J18" s="29"/>
      <c r="K18" s="29"/>
    </row>
    <row r="19" customFormat="false" ht="27" hidden="false" customHeight="true" outlineLevel="0" collapsed="false">
      <c r="A19" s="26" t="n">
        <v>14</v>
      </c>
      <c r="B19" s="27" t="s">
        <v>60</v>
      </c>
      <c r="C19" s="27" t="s">
        <v>132</v>
      </c>
      <c r="D19" s="27" t="s">
        <v>133</v>
      </c>
      <c r="E19" s="27"/>
      <c r="F19" s="27" t="s">
        <v>134</v>
      </c>
      <c r="G19" s="28" t="s">
        <v>135</v>
      </c>
      <c r="H19" s="27"/>
      <c r="I19" s="29"/>
      <c r="J19" s="29"/>
      <c r="K19" s="29"/>
    </row>
    <row r="20" customFormat="false" ht="27" hidden="false" customHeight="true" outlineLevel="0" collapsed="false">
      <c r="A20" s="26" t="n">
        <v>15</v>
      </c>
      <c r="B20" s="27" t="s">
        <v>60</v>
      </c>
      <c r="C20" s="27" t="s">
        <v>132</v>
      </c>
      <c r="D20" s="27" t="s">
        <v>136</v>
      </c>
      <c r="E20" s="27"/>
      <c r="F20" s="27" t="s">
        <v>137</v>
      </c>
      <c r="G20" s="28" t="s">
        <v>138</v>
      </c>
      <c r="H20" s="27" t="s">
        <v>128</v>
      </c>
      <c r="I20" s="29"/>
      <c r="J20" s="29"/>
      <c r="K20" s="29"/>
    </row>
    <row r="21" customFormat="false" ht="27" hidden="false" customHeight="true" outlineLevel="0" collapsed="false">
      <c r="A21" s="26" t="n">
        <v>16</v>
      </c>
      <c r="B21" s="27" t="s">
        <v>60</v>
      </c>
      <c r="C21" s="27" t="s">
        <v>132</v>
      </c>
      <c r="D21" s="27" t="s">
        <v>139</v>
      </c>
      <c r="E21" s="27"/>
      <c r="F21" s="27" t="s">
        <v>140</v>
      </c>
      <c r="G21" s="27" t="s">
        <v>140</v>
      </c>
      <c r="H21" s="27" t="s">
        <v>141</v>
      </c>
      <c r="I21" s="29"/>
      <c r="J21" s="29"/>
      <c r="K21" s="29"/>
    </row>
    <row r="22" customFormat="false" ht="27" hidden="false" customHeight="true" outlineLevel="0" collapsed="false">
      <c r="A22" s="26" t="n">
        <v>17</v>
      </c>
      <c r="B22" s="27" t="s">
        <v>60</v>
      </c>
      <c r="C22" s="27" t="s">
        <v>132</v>
      </c>
      <c r="D22" s="27" t="s">
        <v>142</v>
      </c>
      <c r="E22" s="27"/>
      <c r="F22" s="27" t="s">
        <v>143</v>
      </c>
      <c r="G22" s="28" t="s">
        <v>144</v>
      </c>
      <c r="H22" s="27" t="s">
        <v>128</v>
      </c>
      <c r="I22" s="29"/>
      <c r="J22" s="29"/>
      <c r="K22" s="29"/>
    </row>
    <row r="23" customFormat="false" ht="27" hidden="false" customHeight="true" outlineLevel="0" collapsed="false">
      <c r="A23" s="26" t="n">
        <v>18</v>
      </c>
      <c r="B23" s="27" t="s">
        <v>60</v>
      </c>
      <c r="C23" s="27" t="s">
        <v>145</v>
      </c>
      <c r="D23" s="27" t="s">
        <v>146</v>
      </c>
      <c r="E23" s="27"/>
      <c r="F23" s="27" t="s">
        <v>147</v>
      </c>
      <c r="G23" s="28" t="s">
        <v>148</v>
      </c>
      <c r="H23" s="27"/>
      <c r="I23" s="29"/>
      <c r="J23" s="29"/>
      <c r="K23" s="29"/>
    </row>
    <row r="24" customFormat="false" ht="40.5" hidden="false" customHeight="true" outlineLevel="0" collapsed="false">
      <c r="A24" s="26" t="n">
        <v>19</v>
      </c>
      <c r="B24" s="27" t="s">
        <v>60</v>
      </c>
      <c r="C24" s="27" t="s">
        <v>145</v>
      </c>
      <c r="D24" s="27" t="s">
        <v>149</v>
      </c>
      <c r="E24" s="27"/>
      <c r="F24" s="27" t="s">
        <v>150</v>
      </c>
      <c r="G24" s="28" t="s">
        <v>151</v>
      </c>
      <c r="H24" s="27"/>
      <c r="I24" s="29"/>
      <c r="J24" s="29"/>
      <c r="K24" s="29"/>
    </row>
    <row r="25" customFormat="false" ht="27" hidden="false" customHeight="true" outlineLevel="0" collapsed="false">
      <c r="A25" s="26" t="n">
        <v>20</v>
      </c>
      <c r="B25" s="27" t="s">
        <v>60</v>
      </c>
      <c r="C25" s="27" t="s">
        <v>145</v>
      </c>
      <c r="D25" s="27" t="s">
        <v>152</v>
      </c>
      <c r="E25" s="27"/>
      <c r="F25" s="27" t="s">
        <v>153</v>
      </c>
      <c r="G25" s="28" t="s">
        <v>154</v>
      </c>
      <c r="H25" s="27" t="s">
        <v>155</v>
      </c>
      <c r="I25" s="29"/>
      <c r="J25" s="29"/>
      <c r="K25" s="29"/>
    </row>
    <row r="26" customFormat="false" ht="81" hidden="false" customHeight="true" outlineLevel="0" collapsed="false">
      <c r="A26" s="26" t="n">
        <v>21</v>
      </c>
      <c r="B26" s="27" t="s">
        <v>60</v>
      </c>
      <c r="C26" s="27" t="s">
        <v>156</v>
      </c>
      <c r="D26" s="27" t="s">
        <v>157</v>
      </c>
      <c r="E26" s="27"/>
      <c r="F26" s="27" t="s">
        <v>158</v>
      </c>
      <c r="G26" s="28" t="s">
        <v>159</v>
      </c>
      <c r="H26" s="27" t="s">
        <v>160</v>
      </c>
      <c r="I26" s="29"/>
      <c r="J26" s="29"/>
      <c r="K26" s="29"/>
    </row>
    <row r="27" customFormat="false" ht="108" hidden="false" customHeight="true" outlineLevel="0" collapsed="false">
      <c r="A27" s="30" t="s">
        <v>161</v>
      </c>
      <c r="B27" s="31" t="s">
        <v>60</v>
      </c>
      <c r="C27" s="31" t="s">
        <v>156</v>
      </c>
      <c r="D27" s="31" t="s">
        <v>162</v>
      </c>
      <c r="E27" s="31"/>
      <c r="F27" s="31" t="s">
        <v>163</v>
      </c>
      <c r="G27" s="32" t="s">
        <v>164</v>
      </c>
      <c r="H27" s="33" t="s">
        <v>165</v>
      </c>
      <c r="I27" s="31"/>
      <c r="J27" s="31"/>
      <c r="K27" s="29"/>
    </row>
    <row r="28" customFormat="false" ht="94.5" hidden="false" customHeight="true" outlineLevel="0" collapsed="false">
      <c r="A28" s="26" t="n">
        <v>22</v>
      </c>
      <c r="B28" s="27" t="s">
        <v>60</v>
      </c>
      <c r="C28" s="27" t="s">
        <v>156</v>
      </c>
      <c r="D28" s="27" t="s">
        <v>166</v>
      </c>
      <c r="E28" s="27"/>
      <c r="F28" s="34" t="s">
        <v>167</v>
      </c>
      <c r="G28" s="35" t="s">
        <v>168</v>
      </c>
      <c r="H28" s="36" t="s">
        <v>169</v>
      </c>
      <c r="I28" s="29"/>
      <c r="J28" s="29"/>
      <c r="K28" s="29"/>
    </row>
    <row r="29" customFormat="false" ht="54" hidden="false" customHeight="true" outlineLevel="0" collapsed="false">
      <c r="A29" s="26" t="n">
        <v>23</v>
      </c>
      <c r="B29" s="27" t="s">
        <v>60</v>
      </c>
      <c r="C29" s="27" t="s">
        <v>156</v>
      </c>
      <c r="D29" s="27" t="s">
        <v>170</v>
      </c>
      <c r="E29" s="27"/>
      <c r="F29" s="34" t="s">
        <v>171</v>
      </c>
      <c r="G29" s="34" t="s">
        <v>172</v>
      </c>
      <c r="H29" s="36" t="s">
        <v>173</v>
      </c>
      <c r="I29" s="29"/>
      <c r="J29" s="29"/>
      <c r="K29" s="29"/>
    </row>
    <row r="30" customFormat="false" ht="40.5" hidden="false" customHeight="true" outlineLevel="0" collapsed="false">
      <c r="A30" s="26" t="n">
        <v>24</v>
      </c>
      <c r="B30" s="27" t="s">
        <v>60</v>
      </c>
      <c r="C30" s="27" t="s">
        <v>156</v>
      </c>
      <c r="D30" s="27" t="s">
        <v>174</v>
      </c>
      <c r="E30" s="27"/>
      <c r="F30" s="34" t="s">
        <v>175</v>
      </c>
      <c r="G30" s="35" t="s">
        <v>176</v>
      </c>
      <c r="H30" s="36" t="s">
        <v>177</v>
      </c>
      <c r="I30" s="29"/>
      <c r="J30" s="29"/>
      <c r="K30" s="29"/>
    </row>
    <row r="31" customFormat="false" ht="54" hidden="false" customHeight="true" outlineLevel="0" collapsed="false">
      <c r="A31" s="26" t="n">
        <v>25</v>
      </c>
      <c r="B31" s="27" t="s">
        <v>60</v>
      </c>
      <c r="C31" s="27" t="s">
        <v>156</v>
      </c>
      <c r="D31" s="27" t="s">
        <v>178</v>
      </c>
      <c r="E31" s="27"/>
      <c r="F31" s="34" t="s">
        <v>179</v>
      </c>
      <c r="G31" s="35" t="s">
        <v>180</v>
      </c>
      <c r="H31" s="36" t="s">
        <v>181</v>
      </c>
      <c r="I31" s="29"/>
      <c r="J31" s="29"/>
      <c r="K31" s="29"/>
    </row>
    <row r="32" customFormat="false" ht="67.5" hidden="false" customHeight="true" outlineLevel="0" collapsed="false">
      <c r="A32" s="26" t="n">
        <v>26</v>
      </c>
      <c r="B32" s="27" t="s">
        <v>60</v>
      </c>
      <c r="C32" s="27" t="s">
        <v>156</v>
      </c>
      <c r="D32" s="27" t="s">
        <v>182</v>
      </c>
      <c r="E32" s="27"/>
      <c r="F32" s="34" t="s">
        <v>183</v>
      </c>
      <c r="G32" s="35" t="s">
        <v>184</v>
      </c>
      <c r="H32" s="36" t="s">
        <v>185</v>
      </c>
      <c r="I32" s="29"/>
      <c r="J32" s="29"/>
      <c r="K32" s="29"/>
    </row>
    <row r="33" customFormat="false" ht="27" hidden="false" customHeight="true" outlineLevel="0" collapsed="false">
      <c r="A33" s="26" t="n">
        <v>27</v>
      </c>
      <c r="B33" s="27" t="s">
        <v>60</v>
      </c>
      <c r="C33" s="27" t="s">
        <v>186</v>
      </c>
      <c r="D33" s="27" t="s">
        <v>187</v>
      </c>
      <c r="E33" s="27"/>
      <c r="F33" s="27" t="s">
        <v>188</v>
      </c>
      <c r="G33" s="28" t="s">
        <v>189</v>
      </c>
      <c r="H33" s="27"/>
      <c r="I33" s="29"/>
      <c r="J33" s="29"/>
      <c r="K33" s="29"/>
    </row>
    <row r="34" customFormat="false" ht="27" hidden="false" customHeight="true" outlineLevel="0" collapsed="false">
      <c r="A34" s="26" t="n">
        <v>28</v>
      </c>
      <c r="B34" s="27" t="s">
        <v>60</v>
      </c>
      <c r="C34" s="27" t="s">
        <v>186</v>
      </c>
      <c r="D34" s="27" t="s">
        <v>190</v>
      </c>
      <c r="E34" s="27"/>
      <c r="F34" s="27" t="s">
        <v>191</v>
      </c>
      <c r="G34" s="28" t="s">
        <v>192</v>
      </c>
      <c r="H34" s="27"/>
      <c r="I34" s="29"/>
      <c r="J34" s="29"/>
      <c r="K34" s="29"/>
    </row>
    <row r="35" customFormat="false" ht="27" hidden="false" customHeight="true" outlineLevel="0" collapsed="false">
      <c r="A35" s="26" t="n">
        <v>29</v>
      </c>
      <c r="B35" s="27" t="s">
        <v>60</v>
      </c>
      <c r="C35" s="27" t="s">
        <v>186</v>
      </c>
      <c r="D35" s="27" t="s">
        <v>193</v>
      </c>
      <c r="E35" s="27"/>
      <c r="F35" s="27" t="s">
        <v>194</v>
      </c>
      <c r="G35" s="28" t="s">
        <v>195</v>
      </c>
      <c r="H35" s="27"/>
      <c r="I35" s="29"/>
      <c r="J35" s="29"/>
      <c r="K35" s="29"/>
    </row>
    <row r="36" customFormat="false" ht="27" hidden="false" customHeight="true" outlineLevel="0" collapsed="false">
      <c r="A36" s="26" t="n">
        <v>30</v>
      </c>
      <c r="B36" s="27" t="s">
        <v>60</v>
      </c>
      <c r="C36" s="27" t="s">
        <v>186</v>
      </c>
      <c r="D36" s="27" t="s">
        <v>196</v>
      </c>
      <c r="E36" s="27"/>
      <c r="F36" s="27" t="s">
        <v>197</v>
      </c>
      <c r="G36" s="28" t="s">
        <v>198</v>
      </c>
      <c r="H36" s="27" t="s">
        <v>199</v>
      </c>
      <c r="I36" s="29"/>
      <c r="J36" s="29"/>
      <c r="K36" s="29"/>
    </row>
    <row r="37" customFormat="false" ht="27" hidden="false" customHeight="true" outlineLevel="0" collapsed="false">
      <c r="A37" s="26" t="n">
        <v>31</v>
      </c>
      <c r="B37" s="27" t="s">
        <v>60</v>
      </c>
      <c r="C37" s="27" t="s">
        <v>186</v>
      </c>
      <c r="D37" s="27" t="s">
        <v>200</v>
      </c>
      <c r="E37" s="27"/>
      <c r="F37" s="27" t="s">
        <v>201</v>
      </c>
      <c r="G37" s="28" t="s">
        <v>202</v>
      </c>
      <c r="H37" s="27"/>
      <c r="I37" s="29"/>
      <c r="J37" s="29"/>
      <c r="K37" s="29"/>
    </row>
    <row r="38" customFormat="false" ht="27" hidden="false" customHeight="true" outlineLevel="0" collapsed="false">
      <c r="A38" s="26" t="n">
        <v>32</v>
      </c>
      <c r="B38" s="27" t="s">
        <v>60</v>
      </c>
      <c r="C38" s="27" t="s">
        <v>203</v>
      </c>
      <c r="D38" s="27" t="s">
        <v>204</v>
      </c>
      <c r="E38" s="27"/>
      <c r="F38" s="27" t="s">
        <v>15</v>
      </c>
      <c r="G38" s="28" t="s">
        <v>17</v>
      </c>
      <c r="H38" s="27"/>
      <c r="I38" s="29"/>
      <c r="J38" s="29"/>
      <c r="K38" s="29"/>
    </row>
    <row r="39" customFormat="false" ht="27" hidden="false" customHeight="true" outlineLevel="0" collapsed="false">
      <c r="A39" s="26" t="n">
        <v>33</v>
      </c>
      <c r="B39" s="27" t="s">
        <v>60</v>
      </c>
      <c r="C39" s="27" t="s">
        <v>203</v>
      </c>
      <c r="D39" s="27" t="s">
        <v>205</v>
      </c>
      <c r="E39" s="27"/>
      <c r="F39" s="27" t="s">
        <v>206</v>
      </c>
      <c r="G39" s="28" t="s">
        <v>207</v>
      </c>
      <c r="H39" s="27"/>
      <c r="I39" s="29"/>
      <c r="J39" s="29"/>
      <c r="K39" s="29"/>
    </row>
    <row r="40" customFormat="false" ht="27" hidden="false" customHeight="true" outlineLevel="0" collapsed="false">
      <c r="A40" s="26" t="n">
        <v>34</v>
      </c>
      <c r="B40" s="27" t="s">
        <v>60</v>
      </c>
      <c r="C40" s="27" t="s">
        <v>208</v>
      </c>
      <c r="D40" s="27" t="s">
        <v>209</v>
      </c>
      <c r="E40" s="27"/>
      <c r="F40" s="27" t="s">
        <v>210</v>
      </c>
      <c r="G40" s="28" t="s">
        <v>211</v>
      </c>
      <c r="H40" s="27"/>
      <c r="I40" s="29"/>
      <c r="J40" s="29"/>
      <c r="K40" s="29"/>
    </row>
    <row r="41" customFormat="false" ht="148.5" hidden="false" customHeight="true" outlineLevel="0" collapsed="false">
      <c r="A41" s="30" t="s">
        <v>212</v>
      </c>
      <c r="B41" s="31" t="s">
        <v>60</v>
      </c>
      <c r="C41" s="31" t="s">
        <v>213</v>
      </c>
      <c r="D41" s="31" t="s">
        <v>214</v>
      </c>
      <c r="E41" s="31"/>
      <c r="F41" s="31" t="s">
        <v>215</v>
      </c>
      <c r="G41" s="32" t="s">
        <v>216</v>
      </c>
      <c r="H41" s="31" t="s">
        <v>217</v>
      </c>
      <c r="I41" s="31"/>
      <c r="J41" s="31"/>
      <c r="K41" s="29"/>
    </row>
    <row r="42" customFormat="false" ht="148.5" hidden="false" customHeight="true" outlineLevel="0" collapsed="false">
      <c r="A42" s="26" t="n">
        <v>35</v>
      </c>
      <c r="B42" s="27" t="s">
        <v>60</v>
      </c>
      <c r="C42" s="27" t="s">
        <v>213</v>
      </c>
      <c r="D42" s="27" t="s">
        <v>218</v>
      </c>
      <c r="E42" s="27"/>
      <c r="F42" s="27" t="s">
        <v>219</v>
      </c>
      <c r="G42" s="28" t="s">
        <v>220</v>
      </c>
      <c r="H42" s="27" t="s">
        <v>221</v>
      </c>
      <c r="I42" s="29"/>
      <c r="J42" s="29"/>
      <c r="K42" s="29"/>
    </row>
    <row r="43" customFormat="false" ht="27" hidden="false" customHeight="true" outlineLevel="0" collapsed="false">
      <c r="A43" s="26" t="n">
        <v>36</v>
      </c>
      <c r="B43" s="27" t="s">
        <v>60</v>
      </c>
      <c r="C43" s="27" t="s">
        <v>213</v>
      </c>
      <c r="D43" s="27" t="s">
        <v>222</v>
      </c>
      <c r="E43" s="27"/>
      <c r="F43" s="27" t="s">
        <v>223</v>
      </c>
      <c r="G43" s="28" t="s">
        <v>224</v>
      </c>
      <c r="H43" s="27" t="s">
        <v>225</v>
      </c>
      <c r="I43" s="29"/>
      <c r="J43" s="29"/>
      <c r="K43" s="29"/>
    </row>
    <row r="44" customFormat="false" ht="27" hidden="false" customHeight="true" outlineLevel="0" collapsed="false">
      <c r="A44" s="26" t="n">
        <v>37</v>
      </c>
      <c r="B44" s="27" t="s">
        <v>60</v>
      </c>
      <c r="C44" s="27" t="s">
        <v>213</v>
      </c>
      <c r="D44" s="27" t="s">
        <v>226</v>
      </c>
      <c r="E44" s="27"/>
      <c r="F44" s="27" t="s">
        <v>227</v>
      </c>
      <c r="G44" s="28" t="s">
        <v>228</v>
      </c>
      <c r="H44" s="27" t="s">
        <v>229</v>
      </c>
      <c r="I44" s="29"/>
      <c r="J44" s="29"/>
      <c r="K44" s="29"/>
    </row>
    <row r="45" customFormat="false" ht="54" hidden="false" customHeight="true" outlineLevel="0" collapsed="false">
      <c r="A45" s="26" t="n">
        <v>38</v>
      </c>
      <c r="B45" s="27" t="s">
        <v>60</v>
      </c>
      <c r="C45" s="27" t="s">
        <v>213</v>
      </c>
      <c r="D45" s="27" t="s">
        <v>230</v>
      </c>
      <c r="E45" s="27"/>
      <c r="F45" s="27" t="s">
        <v>231</v>
      </c>
      <c r="G45" s="28" t="s">
        <v>232</v>
      </c>
      <c r="H45" s="27"/>
      <c r="I45" s="29"/>
      <c r="J45" s="29"/>
      <c r="K45" s="29"/>
    </row>
    <row r="46" customFormat="false" ht="67.5" hidden="false" customHeight="true" outlineLevel="0" collapsed="false">
      <c r="A46" s="30" t="s">
        <v>233</v>
      </c>
      <c r="B46" s="31" t="s">
        <v>60</v>
      </c>
      <c r="C46" s="31" t="s">
        <v>213</v>
      </c>
      <c r="D46" s="31" t="s">
        <v>234</v>
      </c>
      <c r="E46" s="31"/>
      <c r="F46" s="31" t="s">
        <v>235</v>
      </c>
      <c r="G46" s="32" t="s">
        <v>236</v>
      </c>
      <c r="H46" s="33" t="s">
        <v>237</v>
      </c>
      <c r="I46" s="31"/>
      <c r="J46" s="31"/>
      <c r="K46" s="29"/>
    </row>
    <row r="47" customFormat="false" ht="67.5" hidden="false" customHeight="true" outlineLevel="0" collapsed="false">
      <c r="A47" s="26" t="n">
        <v>39</v>
      </c>
      <c r="B47" s="27" t="s">
        <v>60</v>
      </c>
      <c r="C47" s="27" t="s">
        <v>213</v>
      </c>
      <c r="D47" s="27" t="s">
        <v>238</v>
      </c>
      <c r="E47" s="27"/>
      <c r="F47" s="34" t="s">
        <v>239</v>
      </c>
      <c r="G47" s="35" t="s">
        <v>240</v>
      </c>
      <c r="H47" s="36" t="s">
        <v>241</v>
      </c>
      <c r="I47" s="29"/>
      <c r="J47" s="29"/>
      <c r="K47" s="29"/>
    </row>
    <row r="48" customFormat="false" ht="40.5" hidden="false" customHeight="true" outlineLevel="0" collapsed="false">
      <c r="A48" s="30" t="s">
        <v>242</v>
      </c>
      <c r="B48" s="31" t="s">
        <v>60</v>
      </c>
      <c r="C48" s="31" t="s">
        <v>243</v>
      </c>
      <c r="D48" s="31" t="s">
        <v>244</v>
      </c>
      <c r="E48" s="31"/>
      <c r="F48" s="31" t="s">
        <v>245</v>
      </c>
      <c r="G48" s="32" t="s">
        <v>246</v>
      </c>
      <c r="H48" s="31" t="s">
        <v>247</v>
      </c>
      <c r="I48" s="31"/>
      <c r="J48" s="31"/>
      <c r="K48" s="29"/>
    </row>
    <row r="49" customFormat="false" ht="27" hidden="false" customHeight="true" outlineLevel="0" collapsed="false">
      <c r="A49" s="26" t="n">
        <v>40</v>
      </c>
      <c r="B49" s="27" t="s">
        <v>60</v>
      </c>
      <c r="C49" s="27" t="s">
        <v>243</v>
      </c>
      <c r="D49" s="27" t="s">
        <v>248</v>
      </c>
      <c r="E49" s="27"/>
      <c r="F49" s="27" t="s">
        <v>249</v>
      </c>
      <c r="G49" s="28" t="s">
        <v>250</v>
      </c>
      <c r="H49" s="27" t="s">
        <v>251</v>
      </c>
      <c r="I49" s="29"/>
      <c r="J49" s="29"/>
      <c r="K49" s="29"/>
    </row>
    <row r="50" customFormat="false" ht="27" hidden="false" customHeight="true" outlineLevel="0" collapsed="false">
      <c r="A50" s="26" t="n">
        <v>41</v>
      </c>
      <c r="B50" s="27" t="s">
        <v>60</v>
      </c>
      <c r="C50" s="27" t="s">
        <v>243</v>
      </c>
      <c r="D50" s="27" t="s">
        <v>252</v>
      </c>
      <c r="E50" s="27"/>
      <c r="F50" s="27" t="s">
        <v>253</v>
      </c>
      <c r="G50" s="27" t="s">
        <v>254</v>
      </c>
      <c r="H50" s="27" t="s">
        <v>255</v>
      </c>
      <c r="I50" s="29"/>
      <c r="J50" s="29"/>
      <c r="K50" s="29"/>
    </row>
    <row r="51" customFormat="false" ht="27" hidden="false" customHeight="true" outlineLevel="0" collapsed="false">
      <c r="A51" s="26" t="n">
        <v>42</v>
      </c>
      <c r="B51" s="27" t="s">
        <v>60</v>
      </c>
      <c r="C51" s="27" t="s">
        <v>243</v>
      </c>
      <c r="D51" s="27" t="s">
        <v>256</v>
      </c>
      <c r="E51" s="27"/>
      <c r="F51" s="27" t="s">
        <v>257</v>
      </c>
      <c r="G51" s="28" t="s">
        <v>258</v>
      </c>
      <c r="H51" s="27" t="s">
        <v>251</v>
      </c>
      <c r="I51" s="29"/>
      <c r="J51" s="29"/>
      <c r="K51" s="29"/>
    </row>
    <row r="52" customFormat="false" ht="27" hidden="false" customHeight="true" outlineLevel="0" collapsed="false">
      <c r="A52" s="26" t="n">
        <v>43</v>
      </c>
      <c r="B52" s="27" t="s">
        <v>60</v>
      </c>
      <c r="C52" s="27" t="s">
        <v>243</v>
      </c>
      <c r="D52" s="27" t="s">
        <v>259</v>
      </c>
      <c r="E52" s="27"/>
      <c r="F52" s="27" t="s">
        <v>260</v>
      </c>
      <c r="G52" s="27" t="s">
        <v>261</v>
      </c>
      <c r="H52" s="27" t="s">
        <v>255</v>
      </c>
      <c r="I52" s="29"/>
      <c r="J52" s="29"/>
      <c r="K52" s="29"/>
    </row>
    <row r="53" customFormat="false" ht="27" hidden="false" customHeight="true" outlineLevel="0" collapsed="false">
      <c r="A53" s="26" t="n">
        <v>44</v>
      </c>
      <c r="B53" s="27" t="s">
        <v>60</v>
      </c>
      <c r="C53" s="27" t="s">
        <v>243</v>
      </c>
      <c r="D53" s="27" t="s">
        <v>262</v>
      </c>
      <c r="E53" s="27"/>
      <c r="F53" s="27" t="s">
        <v>227</v>
      </c>
      <c r="G53" s="28" t="s">
        <v>228</v>
      </c>
      <c r="H53" s="27" t="s">
        <v>251</v>
      </c>
      <c r="I53" s="29"/>
      <c r="J53" s="29"/>
      <c r="K53" s="29"/>
    </row>
    <row r="54" customFormat="false" ht="40.5" hidden="false" customHeight="true" outlineLevel="0" collapsed="false">
      <c r="A54" s="37" t="n">
        <v>45</v>
      </c>
      <c r="B54" s="38" t="s">
        <v>61</v>
      </c>
      <c r="C54" s="38"/>
      <c r="D54" s="38" t="s">
        <v>79</v>
      </c>
      <c r="E54" s="38"/>
      <c r="F54" s="38" t="s">
        <v>263</v>
      </c>
      <c r="G54" s="39" t="s">
        <v>264</v>
      </c>
      <c r="H54" s="38"/>
      <c r="I54" s="29"/>
      <c r="J54" s="29"/>
      <c r="K54" s="29"/>
    </row>
    <row r="55" customFormat="false" ht="40.5" hidden="false" customHeight="true" outlineLevel="0" collapsed="false">
      <c r="A55" s="30" t="s">
        <v>265</v>
      </c>
      <c r="B55" s="31" t="s">
        <v>61</v>
      </c>
      <c r="C55" s="31"/>
      <c r="D55" s="31" t="s">
        <v>266</v>
      </c>
      <c r="E55" s="31"/>
      <c r="F55" s="31" t="s">
        <v>267</v>
      </c>
      <c r="G55" s="32" t="s">
        <v>268</v>
      </c>
      <c r="H55" s="31" t="s">
        <v>269</v>
      </c>
      <c r="I55" s="31"/>
      <c r="J55" s="31"/>
      <c r="K55" s="29"/>
    </row>
    <row r="56" customFormat="false" ht="40.5" hidden="false" customHeight="true" outlineLevel="0" collapsed="false">
      <c r="A56" s="37" t="n">
        <v>46</v>
      </c>
      <c r="B56" s="38" t="s">
        <v>61</v>
      </c>
      <c r="C56" s="38"/>
      <c r="D56" s="38" t="s">
        <v>270</v>
      </c>
      <c r="E56" s="38"/>
      <c r="F56" s="38" t="s">
        <v>271</v>
      </c>
      <c r="G56" s="39" t="s">
        <v>272</v>
      </c>
      <c r="H56" s="38"/>
      <c r="I56" s="29"/>
      <c r="J56" s="29"/>
      <c r="K56" s="29"/>
    </row>
    <row r="57" customFormat="false" ht="40.5" hidden="false" customHeight="true" outlineLevel="0" collapsed="false">
      <c r="A57" s="37" t="n">
        <v>47</v>
      </c>
      <c r="B57" s="38" t="s">
        <v>61</v>
      </c>
      <c r="C57" s="38"/>
      <c r="D57" s="38" t="s">
        <v>273</v>
      </c>
      <c r="E57" s="38"/>
      <c r="F57" s="38" t="s">
        <v>274</v>
      </c>
      <c r="G57" s="38" t="s">
        <v>275</v>
      </c>
      <c r="H57" s="38"/>
      <c r="I57" s="29"/>
      <c r="J57" s="29"/>
      <c r="K57" s="29"/>
    </row>
    <row r="58" customFormat="false" ht="40.5" hidden="false" customHeight="true" outlineLevel="0" collapsed="false">
      <c r="A58" s="37" t="n">
        <v>48</v>
      </c>
      <c r="B58" s="38" t="s">
        <v>61</v>
      </c>
      <c r="C58" s="38"/>
      <c r="D58" s="38" t="s">
        <v>276</v>
      </c>
      <c r="E58" s="38"/>
      <c r="F58" s="38" t="s">
        <v>277</v>
      </c>
      <c r="G58" s="39" t="s">
        <v>278</v>
      </c>
      <c r="H58" s="38"/>
      <c r="I58" s="29"/>
      <c r="J58" s="29"/>
      <c r="K58" s="29"/>
    </row>
    <row r="59" customFormat="false" ht="40.5" hidden="false" customHeight="true" outlineLevel="0" collapsed="false">
      <c r="A59" s="37" t="n">
        <v>49</v>
      </c>
      <c r="B59" s="38" t="s">
        <v>61</v>
      </c>
      <c r="C59" s="38"/>
      <c r="D59" s="38" t="s">
        <v>279</v>
      </c>
      <c r="E59" s="38"/>
      <c r="F59" s="38" t="s">
        <v>280</v>
      </c>
      <c r="G59" s="39" t="s">
        <v>281</v>
      </c>
      <c r="H59" s="38"/>
      <c r="I59" s="29"/>
      <c r="J59" s="29"/>
      <c r="K59" s="29"/>
    </row>
    <row r="60" customFormat="false" ht="40.5" hidden="false" customHeight="true" outlineLevel="0" collapsed="false">
      <c r="A60" s="37" t="n">
        <v>50</v>
      </c>
      <c r="B60" s="38" t="s">
        <v>61</v>
      </c>
      <c r="C60" s="38"/>
      <c r="D60" s="38" t="s">
        <v>282</v>
      </c>
      <c r="E60" s="38"/>
      <c r="F60" s="38" t="s">
        <v>283</v>
      </c>
      <c r="G60" s="39" t="s">
        <v>284</v>
      </c>
      <c r="H60" s="38"/>
      <c r="I60" s="29"/>
      <c r="J60" s="29"/>
      <c r="K60" s="29"/>
    </row>
    <row r="61" customFormat="false" ht="40.5" hidden="false" customHeight="true" outlineLevel="0" collapsed="false">
      <c r="A61" s="37" t="n">
        <v>51</v>
      </c>
      <c r="B61" s="38" t="s">
        <v>61</v>
      </c>
      <c r="C61" s="38"/>
      <c r="D61" s="38" t="s">
        <v>285</v>
      </c>
      <c r="E61" s="38"/>
      <c r="F61" s="38" t="s">
        <v>286</v>
      </c>
      <c r="G61" s="39" t="s">
        <v>287</v>
      </c>
      <c r="H61" s="38" t="s">
        <v>288</v>
      </c>
      <c r="I61" s="29"/>
      <c r="J61" s="29"/>
      <c r="K61" s="29"/>
    </row>
    <row r="62" customFormat="false" ht="40.5" hidden="false" customHeight="true" outlineLevel="0" collapsed="false">
      <c r="A62" s="37" t="n">
        <v>52</v>
      </c>
      <c r="B62" s="38" t="s">
        <v>61</v>
      </c>
      <c r="C62" s="38"/>
      <c r="D62" s="38" t="s">
        <v>289</v>
      </c>
      <c r="E62" s="38"/>
      <c r="F62" s="38" t="s">
        <v>290</v>
      </c>
      <c r="G62" s="39" t="s">
        <v>291</v>
      </c>
      <c r="H62" s="38" t="s">
        <v>288</v>
      </c>
      <c r="I62" s="29"/>
      <c r="J62" s="29"/>
      <c r="K62" s="29"/>
    </row>
    <row r="63" customFormat="false" ht="40.5" hidden="false" customHeight="true" outlineLevel="0" collapsed="false">
      <c r="A63" s="37" t="n">
        <v>53</v>
      </c>
      <c r="B63" s="38" t="s">
        <v>61</v>
      </c>
      <c r="C63" s="38"/>
      <c r="D63" s="38" t="s">
        <v>292</v>
      </c>
      <c r="E63" s="38"/>
      <c r="F63" s="38" t="s">
        <v>293</v>
      </c>
      <c r="G63" s="39" t="s">
        <v>294</v>
      </c>
      <c r="H63" s="38" t="s">
        <v>295</v>
      </c>
      <c r="I63" s="29"/>
      <c r="J63" s="29"/>
      <c r="K63" s="29"/>
    </row>
    <row r="64" customFormat="false" ht="40.5" hidden="false" customHeight="true" outlineLevel="0" collapsed="false">
      <c r="A64" s="37" t="n">
        <v>54</v>
      </c>
      <c r="B64" s="38" t="s">
        <v>61</v>
      </c>
      <c r="C64" s="38"/>
      <c r="D64" s="38" t="s">
        <v>296</v>
      </c>
      <c r="E64" s="38"/>
      <c r="F64" s="38" t="s">
        <v>297</v>
      </c>
      <c r="G64" s="39" t="s">
        <v>298</v>
      </c>
      <c r="H64" s="38" t="s">
        <v>295</v>
      </c>
      <c r="I64" s="29"/>
      <c r="J64" s="29"/>
      <c r="K64" s="29"/>
    </row>
    <row r="65" customFormat="false" ht="40.5" hidden="false" customHeight="true" outlineLevel="0" collapsed="false">
      <c r="A65" s="37" t="n">
        <v>55</v>
      </c>
      <c r="B65" s="38" t="s">
        <v>61</v>
      </c>
      <c r="C65" s="38"/>
      <c r="D65" s="38" t="s">
        <v>299</v>
      </c>
      <c r="E65" s="38"/>
      <c r="F65" s="38" t="s">
        <v>300</v>
      </c>
      <c r="G65" s="39" t="s">
        <v>301</v>
      </c>
      <c r="H65" s="38"/>
      <c r="I65" s="29"/>
      <c r="J65" s="29"/>
      <c r="K65" s="29"/>
    </row>
    <row r="66" customFormat="false" ht="40.5" hidden="false" customHeight="true" outlineLevel="0" collapsed="false">
      <c r="A66" s="37" t="n">
        <v>56</v>
      </c>
      <c r="B66" s="38" t="s">
        <v>61</v>
      </c>
      <c r="C66" s="38"/>
      <c r="D66" s="38" t="s">
        <v>302</v>
      </c>
      <c r="E66" s="38"/>
      <c r="F66" s="38" t="s">
        <v>303</v>
      </c>
      <c r="G66" s="39" t="s">
        <v>304</v>
      </c>
      <c r="H66" s="38"/>
      <c r="I66" s="29"/>
      <c r="J66" s="29"/>
      <c r="K66" s="29"/>
    </row>
    <row r="67" customFormat="false" ht="40.5" hidden="false" customHeight="true" outlineLevel="0" collapsed="false">
      <c r="A67" s="37" t="n">
        <v>57</v>
      </c>
      <c r="B67" s="38" t="s">
        <v>61</v>
      </c>
      <c r="C67" s="38"/>
      <c r="D67" s="38" t="s">
        <v>204</v>
      </c>
      <c r="E67" s="38"/>
      <c r="F67" s="38" t="s">
        <v>305</v>
      </c>
      <c r="G67" s="39" t="s">
        <v>306</v>
      </c>
      <c r="H67" s="38"/>
      <c r="I67" s="29"/>
      <c r="J67" s="29"/>
      <c r="K67" s="29"/>
    </row>
    <row r="68" customFormat="false" ht="40.5" hidden="false" customHeight="true" outlineLevel="0" collapsed="false">
      <c r="A68" s="26" t="n">
        <v>58</v>
      </c>
      <c r="B68" s="27" t="s">
        <v>62</v>
      </c>
      <c r="C68" s="27"/>
      <c r="D68" s="27" t="s">
        <v>79</v>
      </c>
      <c r="E68" s="27"/>
      <c r="F68" s="27" t="s">
        <v>307</v>
      </c>
      <c r="G68" s="28" t="s">
        <v>308</v>
      </c>
      <c r="H68" s="27"/>
      <c r="I68" s="29"/>
      <c r="J68" s="29"/>
      <c r="K68" s="29"/>
    </row>
    <row r="69" customFormat="false" ht="40.5" hidden="false" customHeight="true" outlineLevel="0" collapsed="false">
      <c r="A69" s="26" t="n">
        <v>59</v>
      </c>
      <c r="B69" s="27" t="s">
        <v>62</v>
      </c>
      <c r="C69" s="27"/>
      <c r="D69" s="27" t="s">
        <v>309</v>
      </c>
      <c r="E69" s="27"/>
      <c r="F69" s="27" t="s">
        <v>310</v>
      </c>
      <c r="G69" s="28" t="s">
        <v>311</v>
      </c>
      <c r="H69" s="27"/>
      <c r="I69" s="29"/>
      <c r="J69" s="29"/>
      <c r="K69" s="29"/>
    </row>
    <row r="70" customFormat="false" ht="40.5" hidden="false" customHeight="true" outlineLevel="0" collapsed="false">
      <c r="A70" s="26" t="n">
        <v>60</v>
      </c>
      <c r="B70" s="27" t="s">
        <v>62</v>
      </c>
      <c r="C70" s="27"/>
      <c r="D70" s="27" t="s">
        <v>312</v>
      </c>
      <c r="E70" s="27"/>
      <c r="F70" s="27" t="s">
        <v>313</v>
      </c>
      <c r="G70" s="28" t="s">
        <v>314</v>
      </c>
      <c r="H70" s="27"/>
      <c r="I70" s="29"/>
      <c r="J70" s="29"/>
      <c r="K70" s="29"/>
    </row>
    <row r="71" customFormat="false" ht="40.5" hidden="false" customHeight="true" outlineLevel="0" collapsed="false">
      <c r="A71" s="30" t="s">
        <v>315</v>
      </c>
      <c r="B71" s="31" t="s">
        <v>62</v>
      </c>
      <c r="C71" s="31"/>
      <c r="D71" s="31" t="s">
        <v>316</v>
      </c>
      <c r="E71" s="31"/>
      <c r="F71" s="31" t="s">
        <v>317</v>
      </c>
      <c r="G71" s="32" t="s">
        <v>318</v>
      </c>
      <c r="H71" s="31" t="s">
        <v>319</v>
      </c>
      <c r="I71" s="31"/>
      <c r="J71" s="31"/>
      <c r="K71" s="29"/>
    </row>
    <row r="72" customFormat="false" ht="40.5" hidden="false" customHeight="true" outlineLevel="0" collapsed="false">
      <c r="A72" s="26" t="n">
        <v>61</v>
      </c>
      <c r="B72" s="27" t="s">
        <v>62</v>
      </c>
      <c r="C72" s="27"/>
      <c r="D72" s="27" t="s">
        <v>320</v>
      </c>
      <c r="E72" s="27"/>
      <c r="F72" s="27" t="s">
        <v>321</v>
      </c>
      <c r="G72" s="28" t="s">
        <v>322</v>
      </c>
      <c r="H72" s="27" t="s">
        <v>251</v>
      </c>
      <c r="I72" s="29"/>
      <c r="J72" s="29"/>
      <c r="K72" s="29"/>
    </row>
    <row r="73" customFormat="false" ht="40.5" hidden="false" customHeight="true" outlineLevel="0" collapsed="false">
      <c r="A73" s="26" t="n">
        <v>62</v>
      </c>
      <c r="B73" s="27" t="s">
        <v>62</v>
      </c>
      <c r="C73" s="27"/>
      <c r="D73" s="27" t="s">
        <v>323</v>
      </c>
      <c r="E73" s="27"/>
      <c r="F73" s="27" t="s">
        <v>324</v>
      </c>
      <c r="G73" s="28" t="s">
        <v>325</v>
      </c>
      <c r="H73" s="27" t="s">
        <v>255</v>
      </c>
      <c r="I73" s="29"/>
      <c r="J73" s="29"/>
      <c r="K73" s="29"/>
    </row>
    <row r="74" customFormat="false" ht="40.5" hidden="false" customHeight="true" outlineLevel="0" collapsed="false">
      <c r="A74" s="26" t="n">
        <v>63</v>
      </c>
      <c r="B74" s="27" t="s">
        <v>62</v>
      </c>
      <c r="C74" s="27"/>
      <c r="D74" s="27" t="s">
        <v>326</v>
      </c>
      <c r="E74" s="27"/>
      <c r="F74" s="27" t="s">
        <v>327</v>
      </c>
      <c r="G74" s="28" t="s">
        <v>328</v>
      </c>
      <c r="H74" s="27" t="s">
        <v>251</v>
      </c>
      <c r="I74" s="29"/>
      <c r="J74" s="29"/>
      <c r="K74" s="29"/>
    </row>
    <row r="75" customFormat="false" ht="40.5" hidden="false" customHeight="true" outlineLevel="0" collapsed="false">
      <c r="A75" s="26" t="n">
        <v>64</v>
      </c>
      <c r="B75" s="27" t="s">
        <v>62</v>
      </c>
      <c r="C75" s="27"/>
      <c r="D75" s="27" t="s">
        <v>329</v>
      </c>
      <c r="E75" s="27"/>
      <c r="F75" s="27" t="s">
        <v>330</v>
      </c>
      <c r="G75" s="28" t="s">
        <v>331</v>
      </c>
      <c r="H75" s="27"/>
      <c r="I75" s="29"/>
      <c r="J75" s="29"/>
      <c r="K75" s="29"/>
    </row>
    <row r="76" customFormat="false" ht="40.5" hidden="false" customHeight="true" outlineLevel="0" collapsed="false">
      <c r="A76" s="26" t="n">
        <v>65</v>
      </c>
      <c r="B76" s="27" t="s">
        <v>62</v>
      </c>
      <c r="C76" s="27"/>
      <c r="D76" s="27" t="s">
        <v>204</v>
      </c>
      <c r="E76" s="27"/>
      <c r="F76" s="27" t="s">
        <v>332</v>
      </c>
      <c r="G76" s="28" t="s">
        <v>333</v>
      </c>
      <c r="H76" s="27"/>
      <c r="I76" s="29"/>
      <c r="J76" s="29"/>
      <c r="K76" s="29"/>
    </row>
    <row r="77" customFormat="false" ht="40.5" hidden="false" customHeight="true" outlineLevel="0" collapsed="false">
      <c r="A77" s="37" t="n">
        <v>66</v>
      </c>
      <c r="B77" s="38" t="s">
        <v>63</v>
      </c>
      <c r="C77" s="38" t="s">
        <v>334</v>
      </c>
      <c r="D77" s="38" t="s">
        <v>335</v>
      </c>
      <c r="E77" s="38"/>
      <c r="F77" s="38" t="s">
        <v>336</v>
      </c>
      <c r="G77" s="39" t="s">
        <v>337</v>
      </c>
      <c r="H77" s="38"/>
      <c r="I77" s="29"/>
      <c r="J77" s="29"/>
      <c r="K77" s="29"/>
    </row>
    <row r="78" customFormat="false" ht="40.5" hidden="false" customHeight="true" outlineLevel="0" collapsed="false">
      <c r="A78" s="37" t="n">
        <v>67</v>
      </c>
      <c r="B78" s="38" t="s">
        <v>63</v>
      </c>
      <c r="C78" s="38" t="s">
        <v>334</v>
      </c>
      <c r="D78" s="38" t="s">
        <v>338</v>
      </c>
      <c r="E78" s="38"/>
      <c r="F78" s="38" t="s">
        <v>339</v>
      </c>
      <c r="G78" s="39" t="s">
        <v>340</v>
      </c>
      <c r="H78" s="38" t="s">
        <v>341</v>
      </c>
      <c r="I78" s="29"/>
      <c r="J78" s="29"/>
      <c r="K78" s="29"/>
    </row>
    <row r="79" customFormat="false" ht="40.5" hidden="false" customHeight="true" outlineLevel="0" collapsed="false">
      <c r="A79" s="37" t="n">
        <v>68</v>
      </c>
      <c r="B79" s="38" t="s">
        <v>63</v>
      </c>
      <c r="C79" s="38" t="s">
        <v>334</v>
      </c>
      <c r="D79" s="38" t="s">
        <v>342</v>
      </c>
      <c r="E79" s="38"/>
      <c r="F79" s="38" t="s">
        <v>343</v>
      </c>
      <c r="G79" s="39" t="s">
        <v>344</v>
      </c>
      <c r="H79" s="38"/>
      <c r="I79" s="29"/>
      <c r="J79" s="29"/>
      <c r="K79" s="29"/>
    </row>
    <row r="80" customFormat="false" ht="40.5" hidden="false" customHeight="true" outlineLevel="0" collapsed="false">
      <c r="A80" s="37" t="n">
        <v>69</v>
      </c>
      <c r="B80" s="38" t="s">
        <v>63</v>
      </c>
      <c r="C80" s="38" t="s">
        <v>334</v>
      </c>
      <c r="D80" s="38" t="s">
        <v>345</v>
      </c>
      <c r="E80" s="38"/>
      <c r="F80" s="38" t="s">
        <v>346</v>
      </c>
      <c r="G80" s="39" t="s">
        <v>347</v>
      </c>
      <c r="H80" s="38"/>
      <c r="I80" s="29"/>
      <c r="J80" s="29"/>
      <c r="K80" s="29"/>
    </row>
    <row r="81" customFormat="false" ht="40.5" hidden="false" customHeight="true" outlineLevel="0" collapsed="false">
      <c r="A81" s="37" t="n">
        <v>70</v>
      </c>
      <c r="B81" s="38" t="s">
        <v>63</v>
      </c>
      <c r="C81" s="38" t="s">
        <v>334</v>
      </c>
      <c r="D81" s="38" t="s">
        <v>348</v>
      </c>
      <c r="E81" s="38" t="s">
        <v>349</v>
      </c>
      <c r="F81" s="38" t="s">
        <v>350</v>
      </c>
      <c r="G81" s="39" t="s">
        <v>351</v>
      </c>
      <c r="H81" s="38"/>
      <c r="I81" s="29"/>
      <c r="J81" s="29"/>
      <c r="K81" s="29"/>
    </row>
    <row r="82" customFormat="false" ht="40.5" hidden="false" customHeight="true" outlineLevel="0" collapsed="false">
      <c r="A82" s="37" t="n">
        <v>71</v>
      </c>
      <c r="B82" s="38" t="s">
        <v>63</v>
      </c>
      <c r="C82" s="38" t="s">
        <v>334</v>
      </c>
      <c r="D82" s="38" t="s">
        <v>352</v>
      </c>
      <c r="E82" s="38" t="s">
        <v>353</v>
      </c>
      <c r="F82" s="38" t="s">
        <v>354</v>
      </c>
      <c r="G82" s="39" t="s">
        <v>355</v>
      </c>
      <c r="H82" s="38"/>
      <c r="I82" s="29"/>
      <c r="J82" s="29"/>
      <c r="K82" s="29"/>
    </row>
    <row r="83" customFormat="false" ht="40.5" hidden="false" customHeight="true" outlineLevel="0" collapsed="false">
      <c r="A83" s="37" t="n">
        <v>72</v>
      </c>
      <c r="B83" s="38" t="s">
        <v>63</v>
      </c>
      <c r="C83" s="38" t="s">
        <v>334</v>
      </c>
      <c r="D83" s="38" t="s">
        <v>356</v>
      </c>
      <c r="E83" s="38"/>
      <c r="F83" s="38" t="s">
        <v>357</v>
      </c>
      <c r="G83" s="39" t="s">
        <v>358</v>
      </c>
      <c r="H83" s="38"/>
      <c r="I83" s="29"/>
      <c r="J83" s="29"/>
      <c r="K83" s="29"/>
    </row>
    <row r="84" customFormat="false" ht="40.5" hidden="false" customHeight="true" outlineLevel="0" collapsed="false">
      <c r="A84" s="37" t="n">
        <v>73</v>
      </c>
      <c r="B84" s="38" t="s">
        <v>63</v>
      </c>
      <c r="C84" s="38" t="s">
        <v>334</v>
      </c>
      <c r="D84" s="38" t="s">
        <v>359</v>
      </c>
      <c r="E84" s="38"/>
      <c r="F84" s="38" t="s">
        <v>360</v>
      </c>
      <c r="G84" s="39" t="s">
        <v>361</v>
      </c>
      <c r="H84" s="38"/>
      <c r="I84" s="29"/>
      <c r="J84" s="29"/>
      <c r="K84" s="29"/>
    </row>
    <row r="85" customFormat="false" ht="40.5" hidden="false" customHeight="true" outlineLevel="0" collapsed="false">
      <c r="A85" s="37" t="n">
        <v>74</v>
      </c>
      <c r="B85" s="38" t="s">
        <v>63</v>
      </c>
      <c r="C85" s="38" t="s">
        <v>334</v>
      </c>
      <c r="D85" s="38" t="s">
        <v>362</v>
      </c>
      <c r="E85" s="38" t="s">
        <v>363</v>
      </c>
      <c r="F85" s="38" t="s">
        <v>364</v>
      </c>
      <c r="G85" s="39" t="s">
        <v>365</v>
      </c>
      <c r="H85" s="38"/>
      <c r="I85" s="29"/>
      <c r="J85" s="29"/>
      <c r="K85" s="29"/>
    </row>
    <row r="86" customFormat="false" ht="40.5" hidden="false" customHeight="true" outlineLevel="0" collapsed="false">
      <c r="A86" s="37" t="n">
        <v>75</v>
      </c>
      <c r="B86" s="38" t="s">
        <v>63</v>
      </c>
      <c r="C86" s="38" t="s">
        <v>334</v>
      </c>
      <c r="D86" s="38" t="s">
        <v>366</v>
      </c>
      <c r="E86" s="38" t="s">
        <v>367</v>
      </c>
      <c r="F86" s="38" t="s">
        <v>368</v>
      </c>
      <c r="G86" s="39" t="s">
        <v>369</v>
      </c>
      <c r="H86" s="38"/>
      <c r="I86" s="29"/>
      <c r="J86" s="29"/>
      <c r="K86" s="29"/>
    </row>
    <row r="87" customFormat="false" ht="40.5" hidden="false" customHeight="true" outlineLevel="0" collapsed="false">
      <c r="A87" s="37" t="n">
        <v>76</v>
      </c>
      <c r="B87" s="38" t="s">
        <v>63</v>
      </c>
      <c r="C87" s="38" t="s">
        <v>334</v>
      </c>
      <c r="D87" s="38" t="s">
        <v>370</v>
      </c>
      <c r="E87" s="38" t="s">
        <v>359</v>
      </c>
      <c r="F87" s="38" t="s">
        <v>371</v>
      </c>
      <c r="G87" s="39" t="s">
        <v>372</v>
      </c>
      <c r="H87" s="38"/>
      <c r="I87" s="29"/>
      <c r="J87" s="29"/>
      <c r="K87" s="29"/>
    </row>
    <row r="88" customFormat="false" ht="40.5" hidden="false" customHeight="true" outlineLevel="0" collapsed="false">
      <c r="A88" s="37" t="n">
        <v>77</v>
      </c>
      <c r="B88" s="38" t="s">
        <v>63</v>
      </c>
      <c r="C88" s="38" t="s">
        <v>373</v>
      </c>
      <c r="D88" s="38" t="s">
        <v>374</v>
      </c>
      <c r="E88" s="38"/>
      <c r="F88" s="38" t="s">
        <v>375</v>
      </c>
      <c r="G88" s="39" t="s">
        <v>376</v>
      </c>
      <c r="H88" s="38" t="s">
        <v>377</v>
      </c>
      <c r="I88" s="29"/>
      <c r="J88" s="29"/>
      <c r="K88" s="29"/>
    </row>
    <row r="89" customFormat="false" ht="40.5" hidden="false" customHeight="true" outlineLevel="0" collapsed="false">
      <c r="A89" s="37" t="n">
        <v>78</v>
      </c>
      <c r="B89" s="38" t="s">
        <v>63</v>
      </c>
      <c r="C89" s="38" t="s">
        <v>373</v>
      </c>
      <c r="D89" s="38" t="s">
        <v>378</v>
      </c>
      <c r="E89" s="38"/>
      <c r="F89" s="38" t="s">
        <v>379</v>
      </c>
      <c r="G89" s="39" t="s">
        <v>380</v>
      </c>
      <c r="H89" s="38"/>
      <c r="I89" s="29"/>
      <c r="J89" s="29"/>
      <c r="K89" s="29"/>
    </row>
    <row r="90" customFormat="false" ht="40.5" hidden="false" customHeight="true" outlineLevel="0" collapsed="false">
      <c r="A90" s="37" t="n">
        <v>79</v>
      </c>
      <c r="B90" s="38" t="s">
        <v>63</v>
      </c>
      <c r="C90" s="38" t="s">
        <v>373</v>
      </c>
      <c r="D90" s="38" t="s">
        <v>381</v>
      </c>
      <c r="E90" s="38"/>
      <c r="F90" s="38" t="s">
        <v>382</v>
      </c>
      <c r="G90" s="39" t="s">
        <v>383</v>
      </c>
      <c r="H90" s="38"/>
      <c r="I90" s="29"/>
      <c r="J90" s="29"/>
      <c r="K90" s="29"/>
    </row>
    <row r="91" customFormat="false" ht="40.5" hidden="false" customHeight="true" outlineLevel="0" collapsed="false">
      <c r="A91" s="37" t="n">
        <v>80</v>
      </c>
      <c r="B91" s="38" t="s">
        <v>63</v>
      </c>
      <c r="C91" s="38" t="s">
        <v>384</v>
      </c>
      <c r="D91" s="38" t="s">
        <v>385</v>
      </c>
      <c r="E91" s="38"/>
      <c r="F91" s="38" t="s">
        <v>313</v>
      </c>
      <c r="G91" s="39" t="s">
        <v>314</v>
      </c>
      <c r="H91" s="38"/>
      <c r="I91" s="29"/>
      <c r="J91" s="29"/>
      <c r="K91" s="29"/>
    </row>
    <row r="92" customFormat="false" ht="40.5" hidden="false" customHeight="true" outlineLevel="0" collapsed="false">
      <c r="A92" s="37" t="n">
        <v>81</v>
      </c>
      <c r="B92" s="38" t="s">
        <v>63</v>
      </c>
      <c r="C92" s="38" t="s">
        <v>384</v>
      </c>
      <c r="D92" s="38" t="s">
        <v>386</v>
      </c>
      <c r="E92" s="38"/>
      <c r="F92" s="38" t="s">
        <v>387</v>
      </c>
      <c r="G92" s="39" t="s">
        <v>388</v>
      </c>
      <c r="H92" s="38"/>
      <c r="I92" s="29"/>
      <c r="J92" s="29"/>
      <c r="K92" s="29"/>
    </row>
    <row r="93" customFormat="false" ht="40.5" hidden="false" customHeight="true" outlineLevel="0" collapsed="false">
      <c r="A93" s="37" t="n">
        <v>82</v>
      </c>
      <c r="B93" s="38" t="s">
        <v>63</v>
      </c>
      <c r="C93" s="38" t="s">
        <v>389</v>
      </c>
      <c r="D93" s="38" t="s">
        <v>390</v>
      </c>
      <c r="E93" s="38"/>
      <c r="F93" s="38" t="s">
        <v>391</v>
      </c>
      <c r="G93" s="39" t="s">
        <v>392</v>
      </c>
      <c r="H93" s="38"/>
      <c r="I93" s="29"/>
      <c r="J93" s="29"/>
      <c r="K93" s="29"/>
    </row>
    <row r="94" customFormat="false" ht="40.5" hidden="false" customHeight="true" outlineLevel="0" collapsed="false">
      <c r="A94" s="37" t="n">
        <v>83</v>
      </c>
      <c r="B94" s="38" t="s">
        <v>63</v>
      </c>
      <c r="C94" s="38" t="s">
        <v>389</v>
      </c>
      <c r="D94" s="38" t="s">
        <v>393</v>
      </c>
      <c r="E94" s="38" t="s">
        <v>394</v>
      </c>
      <c r="F94" s="38" t="s">
        <v>395</v>
      </c>
      <c r="G94" s="39" t="s">
        <v>396</v>
      </c>
      <c r="H94" s="38"/>
      <c r="I94" s="29"/>
      <c r="J94" s="29"/>
      <c r="K94" s="29"/>
    </row>
    <row r="95" customFormat="false" ht="40.5" hidden="false" customHeight="true" outlineLevel="0" collapsed="false">
      <c r="A95" s="37" t="n">
        <v>84</v>
      </c>
      <c r="B95" s="38" t="s">
        <v>63</v>
      </c>
      <c r="C95" s="38" t="s">
        <v>389</v>
      </c>
      <c r="D95" s="38" t="s">
        <v>397</v>
      </c>
      <c r="E95" s="38" t="s">
        <v>394</v>
      </c>
      <c r="F95" s="38" t="s">
        <v>398</v>
      </c>
      <c r="G95" s="39" t="s">
        <v>399</v>
      </c>
      <c r="H95" s="38"/>
      <c r="I95" s="29"/>
      <c r="J95" s="29"/>
      <c r="K95" s="29"/>
    </row>
    <row r="96" customFormat="false" ht="40.5" hidden="false" customHeight="true" outlineLevel="0" collapsed="false">
      <c r="A96" s="37" t="n">
        <v>85</v>
      </c>
      <c r="B96" s="38" t="s">
        <v>63</v>
      </c>
      <c r="C96" s="38" t="s">
        <v>389</v>
      </c>
      <c r="D96" s="38" t="s">
        <v>400</v>
      </c>
      <c r="E96" s="38" t="s">
        <v>394</v>
      </c>
      <c r="F96" s="38" t="s">
        <v>401</v>
      </c>
      <c r="G96" s="39" t="s">
        <v>402</v>
      </c>
      <c r="H96" s="38" t="s">
        <v>403</v>
      </c>
      <c r="I96" s="29"/>
      <c r="J96" s="29"/>
      <c r="K96" s="29"/>
    </row>
    <row r="97" customFormat="false" ht="40.5" hidden="false" customHeight="true" outlineLevel="0" collapsed="false">
      <c r="A97" s="37" t="n">
        <v>86</v>
      </c>
      <c r="B97" s="38" t="s">
        <v>63</v>
      </c>
      <c r="C97" s="38" t="s">
        <v>389</v>
      </c>
      <c r="D97" s="38" t="s">
        <v>404</v>
      </c>
      <c r="E97" s="38" t="s">
        <v>405</v>
      </c>
      <c r="F97" s="38" t="s">
        <v>406</v>
      </c>
      <c r="G97" s="39" t="s">
        <v>407</v>
      </c>
      <c r="H97" s="38"/>
      <c r="I97" s="29"/>
      <c r="J97" s="29"/>
      <c r="K97" s="29"/>
    </row>
    <row r="98" customFormat="false" ht="40.5" hidden="false" customHeight="true" outlineLevel="0" collapsed="false">
      <c r="A98" s="37" t="n">
        <v>87</v>
      </c>
      <c r="B98" s="38" t="s">
        <v>63</v>
      </c>
      <c r="C98" s="38" t="s">
        <v>389</v>
      </c>
      <c r="D98" s="38" t="s">
        <v>408</v>
      </c>
      <c r="E98" s="38" t="s">
        <v>405</v>
      </c>
      <c r="F98" s="38" t="s">
        <v>409</v>
      </c>
      <c r="G98" s="39" t="s">
        <v>410</v>
      </c>
      <c r="H98" s="38"/>
      <c r="I98" s="29"/>
      <c r="J98" s="29"/>
      <c r="K98" s="29"/>
    </row>
    <row r="99" customFormat="false" ht="40.5" hidden="false" customHeight="true" outlineLevel="0" collapsed="false">
      <c r="A99" s="37" t="n">
        <v>88</v>
      </c>
      <c r="B99" s="38" t="s">
        <v>63</v>
      </c>
      <c r="C99" s="38" t="s">
        <v>389</v>
      </c>
      <c r="D99" s="38" t="s">
        <v>411</v>
      </c>
      <c r="E99" s="38" t="s">
        <v>405</v>
      </c>
      <c r="F99" s="38" t="s">
        <v>412</v>
      </c>
      <c r="G99" s="39" t="s">
        <v>413</v>
      </c>
      <c r="H99" s="38"/>
      <c r="I99" s="29"/>
      <c r="J99" s="29"/>
      <c r="K99" s="29"/>
    </row>
    <row r="100" customFormat="false" ht="54" hidden="false" customHeight="true" outlineLevel="0" collapsed="false">
      <c r="A100" s="37" t="n">
        <v>89</v>
      </c>
      <c r="B100" s="38" t="s">
        <v>63</v>
      </c>
      <c r="C100" s="38" t="s">
        <v>414</v>
      </c>
      <c r="D100" s="38" t="s">
        <v>312</v>
      </c>
      <c r="E100" s="38" t="s">
        <v>415</v>
      </c>
      <c r="F100" s="38" t="s">
        <v>416</v>
      </c>
      <c r="G100" s="40" t="s">
        <v>416</v>
      </c>
      <c r="H100" s="38" t="s">
        <v>417</v>
      </c>
      <c r="I100" s="29"/>
      <c r="J100" s="29"/>
      <c r="K100" s="29"/>
    </row>
    <row r="101" customFormat="false" ht="54" hidden="false" customHeight="true" outlineLevel="0" collapsed="false">
      <c r="A101" s="37" t="n">
        <v>90</v>
      </c>
      <c r="B101" s="38" t="s">
        <v>63</v>
      </c>
      <c r="C101" s="38" t="s">
        <v>414</v>
      </c>
      <c r="D101" s="38" t="s">
        <v>204</v>
      </c>
      <c r="E101" s="38" t="s">
        <v>415</v>
      </c>
      <c r="F101" s="38" t="s">
        <v>418</v>
      </c>
      <c r="G101" s="40" t="s">
        <v>418</v>
      </c>
      <c r="H101" s="38" t="s">
        <v>417</v>
      </c>
      <c r="I101" s="29"/>
      <c r="J101" s="29"/>
      <c r="K101" s="29"/>
    </row>
    <row r="102" customFormat="false" ht="54" hidden="false" customHeight="true" outlineLevel="0" collapsed="false">
      <c r="A102" s="37" t="n">
        <v>91</v>
      </c>
      <c r="B102" s="38" t="s">
        <v>63</v>
      </c>
      <c r="C102" s="38" t="s">
        <v>414</v>
      </c>
      <c r="D102" s="38" t="s">
        <v>312</v>
      </c>
      <c r="E102" s="38" t="s">
        <v>419</v>
      </c>
      <c r="F102" s="38" t="s">
        <v>420</v>
      </c>
      <c r="G102" s="40" t="s">
        <v>420</v>
      </c>
      <c r="H102" s="38" t="s">
        <v>417</v>
      </c>
      <c r="I102" s="29"/>
      <c r="J102" s="29"/>
      <c r="K102" s="29"/>
    </row>
    <row r="103" customFormat="false" ht="54" hidden="false" customHeight="true" outlineLevel="0" collapsed="false">
      <c r="A103" s="37" t="n">
        <v>92</v>
      </c>
      <c r="B103" s="38" t="s">
        <v>63</v>
      </c>
      <c r="C103" s="38" t="s">
        <v>414</v>
      </c>
      <c r="D103" s="38" t="s">
        <v>374</v>
      </c>
      <c r="E103" s="38" t="s">
        <v>419</v>
      </c>
      <c r="F103" s="38" t="s">
        <v>421</v>
      </c>
      <c r="G103" s="40" t="s">
        <v>421</v>
      </c>
      <c r="H103" s="38" t="s">
        <v>417</v>
      </c>
      <c r="I103" s="29"/>
      <c r="J103" s="29"/>
      <c r="K103" s="29"/>
    </row>
    <row r="104" customFormat="false" ht="54" hidden="false" customHeight="true" outlineLevel="0" collapsed="false">
      <c r="A104" s="37" t="n">
        <v>93</v>
      </c>
      <c r="B104" s="38" t="s">
        <v>63</v>
      </c>
      <c r="C104" s="38" t="s">
        <v>414</v>
      </c>
      <c r="D104" s="38" t="s">
        <v>204</v>
      </c>
      <c r="E104" s="38" t="s">
        <v>419</v>
      </c>
      <c r="F104" s="38" t="s">
        <v>418</v>
      </c>
      <c r="G104" s="40" t="s">
        <v>418</v>
      </c>
      <c r="H104" s="38" t="s">
        <v>417</v>
      </c>
      <c r="I104" s="29"/>
      <c r="J104" s="29"/>
      <c r="K104" s="29"/>
    </row>
    <row r="105" customFormat="false" ht="40.5" hidden="false" customHeight="true" outlineLevel="0" collapsed="false">
      <c r="A105" s="26" t="n">
        <v>94</v>
      </c>
      <c r="B105" s="27" t="s">
        <v>64</v>
      </c>
      <c r="C105" s="27"/>
      <c r="D105" s="27" t="s">
        <v>79</v>
      </c>
      <c r="E105" s="27"/>
      <c r="F105" s="27" t="s">
        <v>422</v>
      </c>
      <c r="G105" s="28" t="s">
        <v>423</v>
      </c>
      <c r="H105" s="27"/>
      <c r="I105" s="29"/>
      <c r="J105" s="29"/>
      <c r="K105" s="29"/>
    </row>
    <row r="106" customFormat="false" ht="40.5" hidden="false" customHeight="true" outlineLevel="0" collapsed="false">
      <c r="A106" s="26" t="n">
        <v>95</v>
      </c>
      <c r="B106" s="27" t="s">
        <v>64</v>
      </c>
      <c r="C106" s="27"/>
      <c r="D106" s="27" t="s">
        <v>424</v>
      </c>
      <c r="E106" s="27"/>
      <c r="F106" s="27" t="s">
        <v>425</v>
      </c>
      <c r="G106" s="27" t="s">
        <v>426</v>
      </c>
      <c r="H106" s="27"/>
      <c r="I106" s="29"/>
      <c r="J106" s="29"/>
      <c r="K106" s="29"/>
    </row>
    <row r="107" customFormat="false" ht="40.5" hidden="false" customHeight="true" outlineLevel="0" collapsed="false">
      <c r="A107" s="26" t="n">
        <v>96</v>
      </c>
      <c r="B107" s="27" t="s">
        <v>64</v>
      </c>
      <c r="C107" s="27"/>
      <c r="D107" s="27" t="s">
        <v>312</v>
      </c>
      <c r="E107" s="27"/>
      <c r="F107" s="27" t="s">
        <v>427</v>
      </c>
      <c r="G107" s="28" t="s">
        <v>428</v>
      </c>
      <c r="H107" s="27"/>
      <c r="I107" s="29"/>
      <c r="J107" s="29"/>
      <c r="K107" s="29"/>
    </row>
    <row r="108" customFormat="false" ht="40.5" hidden="false" customHeight="true" outlineLevel="0" collapsed="false">
      <c r="A108" s="30" t="s">
        <v>429</v>
      </c>
      <c r="B108" s="31" t="s">
        <v>64</v>
      </c>
      <c r="C108" s="31"/>
      <c r="D108" s="31" t="s">
        <v>430</v>
      </c>
      <c r="E108" s="31"/>
      <c r="F108" s="31" t="s">
        <v>431</v>
      </c>
      <c r="G108" s="32" t="s">
        <v>432</v>
      </c>
      <c r="H108" s="31" t="s">
        <v>433</v>
      </c>
      <c r="I108" s="31"/>
      <c r="J108" s="31"/>
      <c r="K108" s="29"/>
    </row>
    <row r="109" customFormat="false" ht="40.5" hidden="false" customHeight="true" outlineLevel="0" collapsed="false">
      <c r="A109" s="26" t="n">
        <v>97</v>
      </c>
      <c r="B109" s="27" t="s">
        <v>64</v>
      </c>
      <c r="C109" s="27"/>
      <c r="D109" s="27" t="s">
        <v>338</v>
      </c>
      <c r="E109" s="27"/>
      <c r="F109" s="27" t="s">
        <v>434</v>
      </c>
      <c r="G109" s="28" t="s">
        <v>435</v>
      </c>
      <c r="H109" s="27" t="s">
        <v>436</v>
      </c>
      <c r="I109" s="29"/>
      <c r="J109" s="29"/>
      <c r="K109" s="29"/>
    </row>
    <row r="110" customFormat="false" ht="40.5" hidden="false" customHeight="true" outlineLevel="0" collapsed="false">
      <c r="A110" s="26" t="n">
        <v>98</v>
      </c>
      <c r="B110" s="27" t="s">
        <v>64</v>
      </c>
      <c r="C110" s="27"/>
      <c r="D110" s="27" t="s">
        <v>437</v>
      </c>
      <c r="E110" s="27"/>
      <c r="F110" s="27" t="s">
        <v>368</v>
      </c>
      <c r="G110" s="28" t="s">
        <v>438</v>
      </c>
      <c r="H110" s="27"/>
      <c r="I110" s="29"/>
      <c r="J110" s="29"/>
      <c r="K110" s="29"/>
    </row>
    <row r="111" customFormat="false" ht="40.5" hidden="false" customHeight="true" outlineLevel="0" collapsed="false">
      <c r="A111" s="26" t="n">
        <v>99</v>
      </c>
      <c r="B111" s="27" t="s">
        <v>64</v>
      </c>
      <c r="C111" s="27"/>
      <c r="D111" s="27" t="s">
        <v>439</v>
      </c>
      <c r="E111" s="27"/>
      <c r="F111" s="27" t="s">
        <v>280</v>
      </c>
      <c r="G111" s="28" t="s">
        <v>281</v>
      </c>
      <c r="H111" s="27"/>
      <c r="I111" s="29"/>
      <c r="J111" s="29"/>
      <c r="K111" s="29"/>
    </row>
    <row r="112" customFormat="false" ht="40.5" hidden="false" customHeight="true" outlineLevel="0" collapsed="false">
      <c r="A112" s="26" t="n">
        <v>100</v>
      </c>
      <c r="B112" s="27" t="s">
        <v>64</v>
      </c>
      <c r="C112" s="27"/>
      <c r="D112" s="27" t="s">
        <v>204</v>
      </c>
      <c r="E112" s="27"/>
      <c r="F112" s="27" t="s">
        <v>440</v>
      </c>
      <c r="G112" s="28" t="s">
        <v>441</v>
      </c>
      <c r="H112" s="27"/>
      <c r="I112" s="29"/>
      <c r="J112" s="29"/>
      <c r="K112" s="29"/>
    </row>
    <row r="113" customFormat="false" ht="40.5" hidden="false" customHeight="true" outlineLevel="0" collapsed="false">
      <c r="A113" s="37" t="n">
        <v>101</v>
      </c>
      <c r="B113" s="38" t="s">
        <v>65</v>
      </c>
      <c r="C113" s="38" t="s">
        <v>442</v>
      </c>
      <c r="D113" s="38" t="s">
        <v>79</v>
      </c>
      <c r="E113" s="38"/>
      <c r="F113" s="38" t="s">
        <v>443</v>
      </c>
      <c r="G113" s="39" t="s">
        <v>444</v>
      </c>
      <c r="H113" s="38"/>
      <c r="I113" s="29"/>
      <c r="J113" s="29"/>
      <c r="K113" s="29"/>
    </row>
    <row r="114" customFormat="false" ht="40.5" hidden="false" customHeight="true" outlineLevel="0" collapsed="false">
      <c r="A114" s="37" t="n">
        <v>102</v>
      </c>
      <c r="B114" s="38" t="s">
        <v>65</v>
      </c>
      <c r="C114" s="38" t="s">
        <v>442</v>
      </c>
      <c r="D114" s="38" t="s">
        <v>445</v>
      </c>
      <c r="E114" s="38"/>
      <c r="F114" s="38" t="s">
        <v>446</v>
      </c>
      <c r="G114" s="39" t="s">
        <v>447</v>
      </c>
      <c r="H114" s="38" t="s">
        <v>448</v>
      </c>
      <c r="I114" s="29"/>
      <c r="J114" s="29"/>
      <c r="K114" s="29"/>
    </row>
    <row r="115" customFormat="false" ht="40.5" hidden="false" customHeight="true" outlineLevel="0" collapsed="false">
      <c r="A115" s="37" t="n">
        <v>103</v>
      </c>
      <c r="B115" s="38" t="s">
        <v>65</v>
      </c>
      <c r="C115" s="38" t="s">
        <v>442</v>
      </c>
      <c r="D115" s="38" t="s">
        <v>449</v>
      </c>
      <c r="E115" s="38"/>
      <c r="F115" s="38" t="s">
        <v>450</v>
      </c>
      <c r="G115" s="39" t="s">
        <v>451</v>
      </c>
      <c r="H115" s="38"/>
      <c r="I115" s="29"/>
      <c r="J115" s="29"/>
      <c r="K115" s="29"/>
    </row>
    <row r="116" customFormat="false" ht="40.5" hidden="false" customHeight="true" outlineLevel="0" collapsed="false">
      <c r="A116" s="37" t="n">
        <v>104</v>
      </c>
      <c r="B116" s="38" t="s">
        <v>65</v>
      </c>
      <c r="C116" s="38" t="s">
        <v>442</v>
      </c>
      <c r="D116" s="38" t="s">
        <v>452</v>
      </c>
      <c r="E116" s="38"/>
      <c r="F116" s="38" t="s">
        <v>440</v>
      </c>
      <c r="G116" s="39" t="s">
        <v>441</v>
      </c>
      <c r="H116" s="38"/>
      <c r="I116" s="29"/>
      <c r="J116" s="29"/>
      <c r="K116" s="29"/>
    </row>
    <row r="117" customFormat="false" ht="40.5" hidden="false" customHeight="true" outlineLevel="0" collapsed="false">
      <c r="A117" s="37" t="n">
        <v>105</v>
      </c>
      <c r="B117" s="38" t="s">
        <v>65</v>
      </c>
      <c r="C117" s="38" t="s">
        <v>442</v>
      </c>
      <c r="D117" s="38" t="s">
        <v>453</v>
      </c>
      <c r="E117" s="38"/>
      <c r="F117" s="38" t="s">
        <v>454</v>
      </c>
      <c r="G117" s="39" t="s">
        <v>455</v>
      </c>
      <c r="H117" s="38" t="s">
        <v>456</v>
      </c>
      <c r="I117" s="29"/>
      <c r="J117" s="29"/>
      <c r="K117" s="29"/>
    </row>
    <row r="118" customFormat="false" ht="40.5" hidden="false" customHeight="true" outlineLevel="0" collapsed="false">
      <c r="A118" s="30" t="s">
        <v>457</v>
      </c>
      <c r="B118" s="31" t="s">
        <v>65</v>
      </c>
      <c r="C118" s="31" t="s">
        <v>458</v>
      </c>
      <c r="D118" s="31" t="s">
        <v>459</v>
      </c>
      <c r="E118" s="31" t="s">
        <v>460</v>
      </c>
      <c r="F118" s="31" t="s">
        <v>461</v>
      </c>
      <c r="G118" s="31" t="s">
        <v>462</v>
      </c>
      <c r="H118" s="31" t="s">
        <v>463</v>
      </c>
      <c r="I118" s="31"/>
      <c r="J118" s="31"/>
      <c r="K118" s="29"/>
    </row>
    <row r="119" customFormat="false" ht="40.5" hidden="false" customHeight="true" outlineLevel="0" collapsed="false">
      <c r="A119" s="37" t="n">
        <v>106</v>
      </c>
      <c r="B119" s="38" t="s">
        <v>65</v>
      </c>
      <c r="C119" s="38" t="s">
        <v>458</v>
      </c>
      <c r="D119" s="38" t="s">
        <v>464</v>
      </c>
      <c r="E119" s="38" t="s">
        <v>460</v>
      </c>
      <c r="F119" s="38" t="s">
        <v>465</v>
      </c>
      <c r="G119" s="40" t="s">
        <v>465</v>
      </c>
      <c r="H119" s="38" t="s">
        <v>466</v>
      </c>
      <c r="I119" s="29"/>
      <c r="J119" s="29"/>
      <c r="K119" s="29"/>
    </row>
    <row r="120" customFormat="false" ht="40.5" hidden="false" customHeight="true" outlineLevel="0" collapsed="false">
      <c r="A120" s="37" t="n">
        <v>107</v>
      </c>
      <c r="B120" s="38" t="s">
        <v>65</v>
      </c>
      <c r="C120" s="38" t="s">
        <v>458</v>
      </c>
      <c r="D120" s="38" t="s">
        <v>467</v>
      </c>
      <c r="E120" s="38" t="s">
        <v>460</v>
      </c>
      <c r="F120" s="38" t="s">
        <v>468</v>
      </c>
      <c r="G120" s="39" t="s">
        <v>469</v>
      </c>
      <c r="H120" s="38"/>
      <c r="I120" s="29"/>
      <c r="J120" s="29"/>
      <c r="K120" s="29"/>
    </row>
    <row r="121" customFormat="false" ht="40.5" hidden="false" customHeight="true" outlineLevel="0" collapsed="false">
      <c r="A121" s="30" t="s">
        <v>470</v>
      </c>
      <c r="B121" s="31" t="s">
        <v>65</v>
      </c>
      <c r="C121" s="31" t="s">
        <v>458</v>
      </c>
      <c r="D121" s="31" t="s">
        <v>471</v>
      </c>
      <c r="E121" s="31" t="s">
        <v>472</v>
      </c>
      <c r="F121" s="31" t="s">
        <v>473</v>
      </c>
      <c r="G121" s="31" t="s">
        <v>474</v>
      </c>
      <c r="H121" s="31" t="s">
        <v>463</v>
      </c>
      <c r="I121" s="31"/>
      <c r="J121" s="31"/>
      <c r="K121" s="29"/>
    </row>
    <row r="122" customFormat="false" ht="40.5" hidden="false" customHeight="true" outlineLevel="0" collapsed="false">
      <c r="A122" s="37" t="n">
        <v>108</v>
      </c>
      <c r="B122" s="38" t="s">
        <v>65</v>
      </c>
      <c r="C122" s="38" t="s">
        <v>458</v>
      </c>
      <c r="D122" s="38" t="s">
        <v>464</v>
      </c>
      <c r="E122" s="38" t="s">
        <v>472</v>
      </c>
      <c r="F122" s="38" t="s">
        <v>475</v>
      </c>
      <c r="G122" s="40" t="s">
        <v>475</v>
      </c>
      <c r="H122" s="38" t="s">
        <v>466</v>
      </c>
      <c r="I122" s="29"/>
      <c r="J122" s="29"/>
      <c r="K122" s="29"/>
    </row>
    <row r="123" customFormat="false" ht="40.5" hidden="false" customHeight="true" outlineLevel="0" collapsed="false">
      <c r="A123" s="37" t="n">
        <v>109</v>
      </c>
      <c r="B123" s="38" t="s">
        <v>65</v>
      </c>
      <c r="C123" s="38" t="s">
        <v>458</v>
      </c>
      <c r="D123" s="38" t="s">
        <v>467</v>
      </c>
      <c r="E123" s="38" t="s">
        <v>472</v>
      </c>
      <c r="F123" s="38" t="s">
        <v>476</v>
      </c>
      <c r="G123" s="39" t="s">
        <v>477</v>
      </c>
      <c r="H123" s="38"/>
      <c r="I123" s="29"/>
      <c r="J123" s="29"/>
      <c r="K123" s="29"/>
    </row>
    <row r="124" customFormat="false" ht="40.5" hidden="false" customHeight="true" outlineLevel="0" collapsed="false">
      <c r="A124" s="30" t="s">
        <v>478</v>
      </c>
      <c r="B124" s="31" t="s">
        <v>65</v>
      </c>
      <c r="C124" s="31" t="s">
        <v>458</v>
      </c>
      <c r="D124" s="31" t="s">
        <v>479</v>
      </c>
      <c r="E124" s="31" t="s">
        <v>480</v>
      </c>
      <c r="F124" s="31" t="s">
        <v>481</v>
      </c>
      <c r="G124" s="31" t="s">
        <v>482</v>
      </c>
      <c r="H124" s="31" t="s">
        <v>463</v>
      </c>
      <c r="I124" s="31"/>
      <c r="J124" s="31"/>
      <c r="K124" s="29"/>
    </row>
    <row r="125" customFormat="false" ht="40.5" hidden="false" customHeight="true" outlineLevel="0" collapsed="false">
      <c r="A125" s="37" t="n">
        <v>110</v>
      </c>
      <c r="B125" s="38" t="s">
        <v>65</v>
      </c>
      <c r="C125" s="38" t="s">
        <v>458</v>
      </c>
      <c r="D125" s="38" t="s">
        <v>464</v>
      </c>
      <c r="E125" s="38" t="s">
        <v>480</v>
      </c>
      <c r="F125" s="38" t="s">
        <v>483</v>
      </c>
      <c r="G125" s="40" t="s">
        <v>483</v>
      </c>
      <c r="H125" s="38" t="s">
        <v>466</v>
      </c>
      <c r="I125" s="29"/>
      <c r="J125" s="29"/>
      <c r="K125" s="29"/>
    </row>
    <row r="126" customFormat="false" ht="40.5" hidden="false" customHeight="true" outlineLevel="0" collapsed="false">
      <c r="A126" s="37" t="n">
        <v>111</v>
      </c>
      <c r="B126" s="38" t="s">
        <v>65</v>
      </c>
      <c r="C126" s="38" t="s">
        <v>458</v>
      </c>
      <c r="D126" s="38" t="s">
        <v>467</v>
      </c>
      <c r="E126" s="38" t="s">
        <v>480</v>
      </c>
      <c r="F126" s="38" t="s">
        <v>484</v>
      </c>
      <c r="G126" s="39" t="s">
        <v>485</v>
      </c>
      <c r="H126" s="38"/>
      <c r="I126" s="29"/>
      <c r="J126" s="29"/>
      <c r="K126" s="29"/>
    </row>
    <row r="127" customFormat="false" ht="54" hidden="false" customHeight="true" outlineLevel="0" collapsed="false">
      <c r="A127" s="30" t="s">
        <v>486</v>
      </c>
      <c r="B127" s="31" t="s">
        <v>65</v>
      </c>
      <c r="C127" s="31" t="s">
        <v>458</v>
      </c>
      <c r="D127" s="31" t="s">
        <v>487</v>
      </c>
      <c r="E127" s="31" t="s">
        <v>488</v>
      </c>
      <c r="F127" s="31" t="s">
        <v>489</v>
      </c>
      <c r="G127" s="31" t="s">
        <v>490</v>
      </c>
      <c r="H127" s="31" t="s">
        <v>463</v>
      </c>
      <c r="I127" s="31"/>
      <c r="J127" s="31"/>
      <c r="K127" s="29"/>
    </row>
    <row r="128" customFormat="false" ht="54" hidden="false" customHeight="true" outlineLevel="0" collapsed="false">
      <c r="A128" s="37" t="n">
        <v>112</v>
      </c>
      <c r="B128" s="38" t="s">
        <v>65</v>
      </c>
      <c r="C128" s="38" t="s">
        <v>458</v>
      </c>
      <c r="D128" s="38" t="s">
        <v>464</v>
      </c>
      <c r="E128" s="38" t="s">
        <v>488</v>
      </c>
      <c r="F128" s="38" t="s">
        <v>491</v>
      </c>
      <c r="G128" s="40" t="s">
        <v>491</v>
      </c>
      <c r="H128" s="38" t="s">
        <v>466</v>
      </c>
      <c r="I128" s="29"/>
      <c r="J128" s="29"/>
      <c r="K128" s="29"/>
    </row>
    <row r="129" customFormat="false" ht="54" hidden="false" customHeight="true" outlineLevel="0" collapsed="false">
      <c r="A129" s="37" t="n">
        <v>113</v>
      </c>
      <c r="B129" s="38" t="s">
        <v>65</v>
      </c>
      <c r="C129" s="38" t="s">
        <v>458</v>
      </c>
      <c r="D129" s="38" t="s">
        <v>467</v>
      </c>
      <c r="E129" s="38" t="s">
        <v>488</v>
      </c>
      <c r="F129" s="38" t="s">
        <v>492</v>
      </c>
      <c r="G129" s="39" t="s">
        <v>493</v>
      </c>
      <c r="H129" s="38"/>
      <c r="I129" s="29"/>
      <c r="J129" s="29"/>
      <c r="K129" s="29"/>
    </row>
    <row r="130" customFormat="false" ht="40.5" hidden="false" customHeight="true" outlineLevel="0" collapsed="false">
      <c r="A130" s="37" t="n">
        <v>114</v>
      </c>
      <c r="B130" s="38" t="s">
        <v>65</v>
      </c>
      <c r="C130" s="38" t="s">
        <v>494</v>
      </c>
      <c r="D130" s="38" t="s">
        <v>495</v>
      </c>
      <c r="E130" s="38"/>
      <c r="F130" s="38" t="s">
        <v>496</v>
      </c>
      <c r="G130" s="39" t="s">
        <v>497</v>
      </c>
      <c r="H130" s="38"/>
      <c r="I130" s="29"/>
      <c r="J130" s="29"/>
      <c r="K130" s="29"/>
    </row>
    <row r="131" customFormat="false" ht="40.5" hidden="false" customHeight="true" outlineLevel="0" collapsed="false">
      <c r="A131" s="37" t="n">
        <v>115</v>
      </c>
      <c r="B131" s="38" t="s">
        <v>65</v>
      </c>
      <c r="C131" s="38" t="s">
        <v>494</v>
      </c>
      <c r="D131" s="38" t="s">
        <v>498</v>
      </c>
      <c r="E131" s="38"/>
      <c r="F131" s="38" t="s">
        <v>499</v>
      </c>
      <c r="G131" s="38" t="s">
        <v>500</v>
      </c>
      <c r="H131" s="38"/>
      <c r="I131" s="29"/>
      <c r="J131" s="29"/>
      <c r="K131" s="29"/>
    </row>
    <row r="132" customFormat="false" ht="40.5" hidden="false" customHeight="true" outlineLevel="0" collapsed="false">
      <c r="A132" s="37" t="n">
        <v>116</v>
      </c>
      <c r="B132" s="38" t="s">
        <v>65</v>
      </c>
      <c r="C132" s="38" t="s">
        <v>494</v>
      </c>
      <c r="D132" s="38" t="s">
        <v>498</v>
      </c>
      <c r="E132" s="38"/>
      <c r="F132" s="38" t="s">
        <v>501</v>
      </c>
      <c r="G132" s="38" t="s">
        <v>502</v>
      </c>
      <c r="H132" s="38"/>
      <c r="I132" s="29"/>
      <c r="J132" s="29"/>
      <c r="K132" s="29"/>
    </row>
    <row r="133" customFormat="false" ht="40.5" hidden="false" customHeight="true" outlineLevel="0" collapsed="false">
      <c r="A133" s="37" t="n">
        <v>117</v>
      </c>
      <c r="B133" s="38" t="s">
        <v>65</v>
      </c>
      <c r="C133" s="38" t="s">
        <v>494</v>
      </c>
      <c r="D133" s="38" t="s">
        <v>498</v>
      </c>
      <c r="E133" s="38"/>
      <c r="F133" s="38" t="s">
        <v>503</v>
      </c>
      <c r="G133" s="38" t="s">
        <v>504</v>
      </c>
      <c r="H133" s="38"/>
      <c r="I133" s="29"/>
      <c r="J133" s="29"/>
      <c r="K133" s="29"/>
    </row>
    <row r="134" customFormat="false" ht="40.5" hidden="false" customHeight="true" outlineLevel="0" collapsed="false">
      <c r="A134" s="37" t="n">
        <v>118</v>
      </c>
      <c r="B134" s="38" t="s">
        <v>65</v>
      </c>
      <c r="C134" s="38" t="s">
        <v>494</v>
      </c>
      <c r="D134" s="38" t="s">
        <v>498</v>
      </c>
      <c r="E134" s="38"/>
      <c r="F134" s="38" t="s">
        <v>505</v>
      </c>
      <c r="G134" s="38" t="s">
        <v>506</v>
      </c>
      <c r="H134" s="38"/>
      <c r="I134" s="29"/>
      <c r="J134" s="29"/>
      <c r="K134" s="29"/>
    </row>
    <row r="135" customFormat="false" ht="40.5" hidden="false" customHeight="true" outlineLevel="0" collapsed="false">
      <c r="A135" s="37" t="n">
        <v>119</v>
      </c>
      <c r="B135" s="38" t="s">
        <v>65</v>
      </c>
      <c r="C135" s="38" t="s">
        <v>494</v>
      </c>
      <c r="D135" s="38" t="s">
        <v>498</v>
      </c>
      <c r="E135" s="38"/>
      <c r="F135" s="38" t="s">
        <v>507</v>
      </c>
      <c r="G135" s="38" t="s">
        <v>508</v>
      </c>
      <c r="H135" s="38"/>
      <c r="I135" s="29"/>
      <c r="J135" s="29"/>
      <c r="K135" s="29"/>
    </row>
    <row r="136" customFormat="false" ht="40.5" hidden="false" customHeight="true" outlineLevel="0" collapsed="false">
      <c r="A136" s="37" t="n">
        <v>120</v>
      </c>
      <c r="B136" s="38" t="s">
        <v>65</v>
      </c>
      <c r="C136" s="38" t="s">
        <v>494</v>
      </c>
      <c r="D136" s="38" t="s">
        <v>495</v>
      </c>
      <c r="E136" s="38"/>
      <c r="F136" s="38" t="s">
        <v>509</v>
      </c>
      <c r="G136" s="39" t="s">
        <v>510</v>
      </c>
      <c r="H136" s="38"/>
      <c r="I136" s="29"/>
      <c r="J136" s="29"/>
      <c r="K136" s="29"/>
    </row>
    <row r="137" customFormat="false" ht="40.5" hidden="false" customHeight="true" outlineLevel="0" collapsed="false">
      <c r="A137" s="37" t="n">
        <v>121</v>
      </c>
      <c r="B137" s="38" t="s">
        <v>65</v>
      </c>
      <c r="C137" s="38" t="s">
        <v>494</v>
      </c>
      <c r="D137" s="38" t="s">
        <v>498</v>
      </c>
      <c r="E137" s="38"/>
      <c r="F137" s="38" t="s">
        <v>511</v>
      </c>
      <c r="G137" s="39" t="s">
        <v>512</v>
      </c>
      <c r="H137" s="38"/>
      <c r="I137" s="29"/>
      <c r="J137" s="29"/>
      <c r="K137" s="29"/>
    </row>
    <row r="138" customFormat="false" ht="40.5" hidden="false" customHeight="true" outlineLevel="0" collapsed="false">
      <c r="A138" s="37" t="n">
        <v>122</v>
      </c>
      <c r="B138" s="38" t="s">
        <v>65</v>
      </c>
      <c r="C138" s="38" t="s">
        <v>494</v>
      </c>
      <c r="D138" s="38" t="s">
        <v>498</v>
      </c>
      <c r="E138" s="38"/>
      <c r="F138" s="38" t="s">
        <v>513</v>
      </c>
      <c r="G138" s="39" t="s">
        <v>514</v>
      </c>
      <c r="H138" s="38"/>
      <c r="I138" s="29"/>
      <c r="J138" s="29"/>
      <c r="K138" s="29"/>
    </row>
    <row r="139" customFormat="false" ht="40.5" hidden="false" customHeight="true" outlineLevel="0" collapsed="false">
      <c r="A139" s="37" t="n">
        <v>123</v>
      </c>
      <c r="B139" s="38" t="s">
        <v>65</v>
      </c>
      <c r="C139" s="38" t="s">
        <v>494</v>
      </c>
      <c r="D139" s="38" t="s">
        <v>495</v>
      </c>
      <c r="E139" s="38" t="s">
        <v>515</v>
      </c>
      <c r="F139" s="38" t="s">
        <v>516</v>
      </c>
      <c r="G139" s="39" t="s">
        <v>517</v>
      </c>
      <c r="H139" s="38"/>
      <c r="I139" s="29"/>
      <c r="J139" s="29"/>
      <c r="K139" s="29"/>
    </row>
    <row r="140" customFormat="false" ht="40.5" hidden="false" customHeight="true" outlineLevel="0" collapsed="false">
      <c r="A140" s="37" t="n">
        <v>124</v>
      </c>
      <c r="B140" s="38" t="s">
        <v>65</v>
      </c>
      <c r="C140" s="38" t="s">
        <v>494</v>
      </c>
      <c r="D140" s="38" t="s">
        <v>498</v>
      </c>
      <c r="E140" s="38" t="s">
        <v>515</v>
      </c>
      <c r="F140" s="38" t="s">
        <v>518</v>
      </c>
      <c r="G140" s="39" t="s">
        <v>519</v>
      </c>
      <c r="H140" s="38"/>
      <c r="I140" s="29"/>
      <c r="J140" s="29"/>
      <c r="K140" s="29"/>
    </row>
    <row r="141" customFormat="false" ht="40.5" hidden="false" customHeight="true" outlineLevel="0" collapsed="false">
      <c r="A141" s="37" t="n">
        <v>125</v>
      </c>
      <c r="B141" s="38" t="s">
        <v>65</v>
      </c>
      <c r="C141" s="38" t="s">
        <v>494</v>
      </c>
      <c r="D141" s="38" t="s">
        <v>498</v>
      </c>
      <c r="E141" s="38" t="s">
        <v>515</v>
      </c>
      <c r="F141" s="38" t="s">
        <v>520</v>
      </c>
      <c r="G141" s="39" t="s">
        <v>521</v>
      </c>
      <c r="H141" s="38"/>
      <c r="I141" s="29"/>
      <c r="J141" s="29"/>
      <c r="K141" s="29"/>
    </row>
    <row r="142" customFormat="false" ht="40.5" hidden="false" customHeight="true" outlineLevel="0" collapsed="false">
      <c r="A142" s="37" t="n">
        <v>126</v>
      </c>
      <c r="B142" s="38" t="s">
        <v>65</v>
      </c>
      <c r="C142" s="38" t="s">
        <v>494</v>
      </c>
      <c r="D142" s="38" t="s">
        <v>495</v>
      </c>
      <c r="E142" s="38"/>
      <c r="F142" s="38" t="s">
        <v>522</v>
      </c>
      <c r="G142" s="39" t="s">
        <v>523</v>
      </c>
      <c r="H142" s="38"/>
      <c r="I142" s="29"/>
      <c r="J142" s="29"/>
      <c r="K142" s="29"/>
    </row>
    <row r="143" customFormat="false" ht="40.5" hidden="false" customHeight="true" outlineLevel="0" collapsed="false">
      <c r="A143" s="37" t="n">
        <v>127</v>
      </c>
      <c r="B143" s="38" t="s">
        <v>65</v>
      </c>
      <c r="C143" s="38" t="s">
        <v>494</v>
      </c>
      <c r="D143" s="38" t="s">
        <v>498</v>
      </c>
      <c r="E143" s="38"/>
      <c r="F143" s="38" t="s">
        <v>524</v>
      </c>
      <c r="G143" s="39" t="s">
        <v>525</v>
      </c>
      <c r="H143" s="38"/>
      <c r="I143" s="29"/>
      <c r="J143" s="29"/>
      <c r="K143" s="29"/>
    </row>
    <row r="144" customFormat="false" ht="40.5" hidden="false" customHeight="true" outlineLevel="0" collapsed="false">
      <c r="A144" s="37" t="n">
        <v>128</v>
      </c>
      <c r="B144" s="38" t="s">
        <v>65</v>
      </c>
      <c r="C144" s="38" t="s">
        <v>494</v>
      </c>
      <c r="D144" s="38" t="s">
        <v>498</v>
      </c>
      <c r="E144" s="38"/>
      <c r="F144" s="38" t="s">
        <v>526</v>
      </c>
      <c r="G144" s="39" t="s">
        <v>527</v>
      </c>
      <c r="H144" s="38"/>
      <c r="I144" s="29"/>
      <c r="J144" s="29"/>
      <c r="K144" s="29"/>
    </row>
    <row r="145" customFormat="false" ht="40.5" hidden="false" customHeight="true" outlineLevel="0" collapsed="false">
      <c r="A145" s="37" t="n">
        <v>129</v>
      </c>
      <c r="B145" s="38" t="s">
        <v>65</v>
      </c>
      <c r="C145" s="38" t="s">
        <v>494</v>
      </c>
      <c r="D145" s="38" t="s">
        <v>498</v>
      </c>
      <c r="E145" s="38"/>
      <c r="F145" s="38" t="s">
        <v>520</v>
      </c>
      <c r="G145" s="39" t="s">
        <v>521</v>
      </c>
      <c r="H145" s="38"/>
      <c r="I145" s="29"/>
      <c r="J145" s="29"/>
      <c r="K145" s="29"/>
    </row>
    <row r="146" customFormat="false" ht="40.5" hidden="false" customHeight="true" outlineLevel="0" collapsed="false">
      <c r="A146" s="37" t="n">
        <v>130</v>
      </c>
      <c r="B146" s="38" t="s">
        <v>65</v>
      </c>
      <c r="C146" s="38" t="s">
        <v>494</v>
      </c>
      <c r="D146" s="38" t="s">
        <v>498</v>
      </c>
      <c r="E146" s="38"/>
      <c r="F146" s="38" t="s">
        <v>528</v>
      </c>
      <c r="G146" s="39" t="s">
        <v>529</v>
      </c>
      <c r="H146" s="38"/>
      <c r="I146" s="29"/>
      <c r="J146" s="29"/>
      <c r="K146" s="29"/>
    </row>
    <row r="147" customFormat="false" ht="40.5" hidden="false" customHeight="true" outlineLevel="0" collapsed="false">
      <c r="A147" s="37" t="n">
        <v>131</v>
      </c>
      <c r="B147" s="38" t="s">
        <v>65</v>
      </c>
      <c r="C147" s="38" t="s">
        <v>530</v>
      </c>
      <c r="D147" s="38" t="s">
        <v>531</v>
      </c>
      <c r="E147" s="38"/>
      <c r="F147" s="38" t="s">
        <v>532</v>
      </c>
      <c r="G147" s="39" t="s">
        <v>533</v>
      </c>
      <c r="H147" s="38"/>
      <c r="I147" s="29"/>
      <c r="J147" s="29"/>
      <c r="K147" s="29"/>
    </row>
    <row r="148" customFormat="false" ht="40.5" hidden="false" customHeight="true" outlineLevel="0" collapsed="false">
      <c r="A148" s="37" t="n">
        <v>132</v>
      </c>
      <c r="B148" s="38" t="s">
        <v>65</v>
      </c>
      <c r="C148" s="38" t="s">
        <v>530</v>
      </c>
      <c r="D148" s="38" t="s">
        <v>534</v>
      </c>
      <c r="E148" s="38"/>
      <c r="F148" s="38" t="s">
        <v>535</v>
      </c>
      <c r="G148" s="39" t="s">
        <v>536</v>
      </c>
      <c r="H148" s="38"/>
      <c r="I148" s="29"/>
      <c r="J148" s="29"/>
      <c r="K148" s="29"/>
    </row>
    <row r="149" customFormat="false" ht="40.5" hidden="false" customHeight="true" outlineLevel="0" collapsed="false">
      <c r="A149" s="37" t="n">
        <v>133</v>
      </c>
      <c r="B149" s="38" t="s">
        <v>65</v>
      </c>
      <c r="C149" s="38" t="s">
        <v>530</v>
      </c>
      <c r="D149" s="38" t="s">
        <v>537</v>
      </c>
      <c r="E149" s="38"/>
      <c r="F149" s="38" t="s">
        <v>538</v>
      </c>
      <c r="G149" s="39" t="s">
        <v>539</v>
      </c>
      <c r="H149" s="38"/>
      <c r="I149" s="29"/>
      <c r="J149" s="29"/>
      <c r="K149" s="29"/>
    </row>
    <row r="150" customFormat="false" ht="40.5" hidden="false" customHeight="true" outlineLevel="0" collapsed="false">
      <c r="A150" s="37" t="n">
        <v>134</v>
      </c>
      <c r="B150" s="38" t="s">
        <v>65</v>
      </c>
      <c r="C150" s="38" t="s">
        <v>530</v>
      </c>
      <c r="D150" s="38" t="s">
        <v>498</v>
      </c>
      <c r="E150" s="38"/>
      <c r="F150" s="38" t="s">
        <v>518</v>
      </c>
      <c r="G150" s="39" t="s">
        <v>519</v>
      </c>
      <c r="H150" s="38"/>
      <c r="I150" s="29"/>
      <c r="J150" s="29"/>
      <c r="K150" s="29"/>
    </row>
    <row r="151" customFormat="false" ht="40.5" hidden="false" customHeight="true" outlineLevel="0" collapsed="false">
      <c r="A151" s="37" t="n">
        <v>135</v>
      </c>
      <c r="B151" s="38" t="s">
        <v>65</v>
      </c>
      <c r="C151" s="38" t="s">
        <v>530</v>
      </c>
      <c r="D151" s="38" t="s">
        <v>498</v>
      </c>
      <c r="E151" s="38"/>
      <c r="F151" s="38" t="s">
        <v>520</v>
      </c>
      <c r="G151" s="39" t="s">
        <v>521</v>
      </c>
      <c r="H151" s="38"/>
      <c r="I151" s="29"/>
      <c r="J151" s="29"/>
      <c r="K151" s="29"/>
    </row>
    <row r="152" customFormat="false" ht="40.5" hidden="false" customHeight="true" outlineLevel="0" collapsed="false">
      <c r="A152" s="37" t="n">
        <v>136</v>
      </c>
      <c r="B152" s="38" t="s">
        <v>65</v>
      </c>
      <c r="C152" s="38" t="s">
        <v>530</v>
      </c>
      <c r="D152" s="38" t="s">
        <v>498</v>
      </c>
      <c r="E152" s="38"/>
      <c r="F152" s="38" t="s">
        <v>540</v>
      </c>
      <c r="G152" s="39" t="s">
        <v>529</v>
      </c>
      <c r="H152" s="38"/>
      <c r="I152" s="29"/>
      <c r="J152" s="29"/>
      <c r="K152" s="29"/>
    </row>
    <row r="153" customFormat="false" ht="40.5" hidden="false" customHeight="true" outlineLevel="0" collapsed="false">
      <c r="A153" s="37" t="n">
        <v>137</v>
      </c>
      <c r="B153" s="38" t="s">
        <v>65</v>
      </c>
      <c r="C153" s="38" t="s">
        <v>530</v>
      </c>
      <c r="D153" s="38" t="s">
        <v>537</v>
      </c>
      <c r="E153" s="38"/>
      <c r="F153" s="38" t="s">
        <v>541</v>
      </c>
      <c r="G153" s="39" t="s">
        <v>542</v>
      </c>
      <c r="H153" s="38"/>
      <c r="I153" s="29"/>
      <c r="J153" s="29"/>
      <c r="K153" s="29"/>
    </row>
    <row r="154" customFormat="false" ht="40.5" hidden="false" customHeight="true" outlineLevel="0" collapsed="false">
      <c r="A154" s="37" t="n">
        <v>138</v>
      </c>
      <c r="B154" s="38" t="s">
        <v>65</v>
      </c>
      <c r="C154" s="38" t="s">
        <v>530</v>
      </c>
      <c r="D154" s="38" t="s">
        <v>498</v>
      </c>
      <c r="E154" s="38"/>
      <c r="F154" s="38" t="s">
        <v>518</v>
      </c>
      <c r="G154" s="39" t="s">
        <v>519</v>
      </c>
      <c r="H154" s="38"/>
      <c r="I154" s="29"/>
      <c r="J154" s="29"/>
      <c r="K154" s="29"/>
    </row>
    <row r="155" customFormat="false" ht="40.5" hidden="false" customHeight="true" outlineLevel="0" collapsed="false">
      <c r="A155" s="37" t="n">
        <v>139</v>
      </c>
      <c r="B155" s="38" t="s">
        <v>65</v>
      </c>
      <c r="C155" s="38" t="s">
        <v>530</v>
      </c>
      <c r="D155" s="38" t="s">
        <v>498</v>
      </c>
      <c r="E155" s="38"/>
      <c r="F155" s="38" t="s">
        <v>520</v>
      </c>
      <c r="G155" s="39" t="s">
        <v>521</v>
      </c>
      <c r="H155" s="38"/>
      <c r="I155" s="29"/>
      <c r="J155" s="29"/>
      <c r="K155" s="29"/>
    </row>
    <row r="156" customFormat="false" ht="40.5" hidden="false" customHeight="true" outlineLevel="0" collapsed="false">
      <c r="A156" s="37" t="n">
        <v>140</v>
      </c>
      <c r="B156" s="38" t="s">
        <v>65</v>
      </c>
      <c r="C156" s="38" t="s">
        <v>530</v>
      </c>
      <c r="D156" s="38" t="s">
        <v>498</v>
      </c>
      <c r="E156" s="38"/>
      <c r="F156" s="38" t="s">
        <v>540</v>
      </c>
      <c r="G156" s="39" t="s">
        <v>529</v>
      </c>
      <c r="H156" s="38"/>
      <c r="I156" s="29"/>
      <c r="J156" s="29"/>
      <c r="K156" s="29"/>
    </row>
    <row r="157" customFormat="false" ht="40.5" hidden="false" customHeight="true" outlineLevel="0" collapsed="false">
      <c r="A157" s="37" t="n">
        <v>141</v>
      </c>
      <c r="B157" s="38" t="s">
        <v>65</v>
      </c>
      <c r="C157" s="38" t="s">
        <v>530</v>
      </c>
      <c r="D157" s="38" t="s">
        <v>537</v>
      </c>
      <c r="E157" s="38"/>
      <c r="F157" s="38" t="s">
        <v>543</v>
      </c>
      <c r="G157" s="39" t="s">
        <v>544</v>
      </c>
      <c r="H157" s="38"/>
      <c r="I157" s="29"/>
      <c r="J157" s="29"/>
      <c r="K157" s="29"/>
    </row>
    <row r="158" customFormat="false" ht="40.5" hidden="false" customHeight="true" outlineLevel="0" collapsed="false">
      <c r="A158" s="37" t="n">
        <v>142</v>
      </c>
      <c r="B158" s="38" t="s">
        <v>65</v>
      </c>
      <c r="C158" s="38" t="s">
        <v>530</v>
      </c>
      <c r="D158" s="38" t="s">
        <v>498</v>
      </c>
      <c r="E158" s="38"/>
      <c r="F158" s="38" t="s">
        <v>518</v>
      </c>
      <c r="G158" s="39" t="s">
        <v>519</v>
      </c>
      <c r="H158" s="38"/>
      <c r="I158" s="29"/>
      <c r="J158" s="29"/>
      <c r="K158" s="29"/>
    </row>
    <row r="159" customFormat="false" ht="40.5" hidden="false" customHeight="true" outlineLevel="0" collapsed="false">
      <c r="A159" s="37" t="n">
        <v>143</v>
      </c>
      <c r="B159" s="38" t="s">
        <v>65</v>
      </c>
      <c r="C159" s="38" t="s">
        <v>530</v>
      </c>
      <c r="D159" s="38" t="s">
        <v>498</v>
      </c>
      <c r="E159" s="38"/>
      <c r="F159" s="38" t="s">
        <v>520</v>
      </c>
      <c r="G159" s="39" t="s">
        <v>521</v>
      </c>
      <c r="H159" s="38"/>
      <c r="I159" s="29"/>
      <c r="J159" s="29"/>
      <c r="K159" s="29"/>
    </row>
    <row r="160" customFormat="false" ht="40.5" hidden="false" customHeight="true" outlineLevel="0" collapsed="false">
      <c r="A160" s="37" t="n">
        <v>144</v>
      </c>
      <c r="B160" s="38" t="s">
        <v>65</v>
      </c>
      <c r="C160" s="38" t="s">
        <v>530</v>
      </c>
      <c r="D160" s="38" t="s">
        <v>498</v>
      </c>
      <c r="E160" s="38"/>
      <c r="F160" s="38" t="s">
        <v>540</v>
      </c>
      <c r="G160" s="39" t="s">
        <v>529</v>
      </c>
      <c r="H160" s="38"/>
      <c r="I160" s="29"/>
      <c r="J160" s="29"/>
      <c r="K160" s="29"/>
    </row>
    <row r="161" customFormat="false" ht="40.5" hidden="false" customHeight="true" outlineLevel="0" collapsed="false">
      <c r="A161" s="37" t="n">
        <v>145</v>
      </c>
      <c r="B161" s="38" t="s">
        <v>65</v>
      </c>
      <c r="C161" s="38" t="s">
        <v>530</v>
      </c>
      <c r="D161" s="38" t="s">
        <v>537</v>
      </c>
      <c r="E161" s="38"/>
      <c r="F161" s="38" t="s">
        <v>545</v>
      </c>
      <c r="G161" s="39" t="s">
        <v>546</v>
      </c>
      <c r="H161" s="38"/>
      <c r="I161" s="29"/>
      <c r="J161" s="29"/>
      <c r="K161" s="29"/>
    </row>
    <row r="162" customFormat="false" ht="40.5" hidden="false" customHeight="true" outlineLevel="0" collapsed="false">
      <c r="A162" s="37" t="n">
        <v>146</v>
      </c>
      <c r="B162" s="38" t="s">
        <v>65</v>
      </c>
      <c r="C162" s="38" t="s">
        <v>530</v>
      </c>
      <c r="D162" s="38" t="s">
        <v>547</v>
      </c>
      <c r="E162" s="38"/>
      <c r="F162" s="38" t="s">
        <v>548</v>
      </c>
      <c r="G162" s="39" t="s">
        <v>549</v>
      </c>
      <c r="H162" s="38"/>
      <c r="I162" s="29"/>
      <c r="J162" s="29"/>
      <c r="K162" s="29"/>
    </row>
    <row r="163" customFormat="false" ht="40.5" hidden="false" customHeight="true" outlineLevel="0" collapsed="false">
      <c r="A163" s="37" t="n">
        <v>147</v>
      </c>
      <c r="B163" s="38" t="s">
        <v>65</v>
      </c>
      <c r="C163" s="38" t="s">
        <v>530</v>
      </c>
      <c r="D163" s="38" t="s">
        <v>498</v>
      </c>
      <c r="E163" s="38"/>
      <c r="F163" s="38" t="s">
        <v>518</v>
      </c>
      <c r="G163" s="39" t="s">
        <v>519</v>
      </c>
      <c r="H163" s="38"/>
      <c r="I163" s="29"/>
      <c r="J163" s="29"/>
      <c r="K163" s="29"/>
    </row>
    <row r="164" customFormat="false" ht="40.5" hidden="false" customHeight="true" outlineLevel="0" collapsed="false">
      <c r="A164" s="37" t="n">
        <v>148</v>
      </c>
      <c r="B164" s="38" t="s">
        <v>65</v>
      </c>
      <c r="C164" s="38" t="s">
        <v>530</v>
      </c>
      <c r="D164" s="38" t="s">
        <v>498</v>
      </c>
      <c r="E164" s="38"/>
      <c r="F164" s="38" t="s">
        <v>520</v>
      </c>
      <c r="G164" s="39" t="s">
        <v>521</v>
      </c>
      <c r="H164" s="38"/>
      <c r="I164" s="29"/>
      <c r="J164" s="29"/>
      <c r="K164" s="29"/>
    </row>
    <row r="165" customFormat="false" ht="40.5" hidden="false" customHeight="true" outlineLevel="0" collapsed="false">
      <c r="A165" s="37" t="n">
        <v>149</v>
      </c>
      <c r="B165" s="38" t="s">
        <v>65</v>
      </c>
      <c r="C165" s="38" t="s">
        <v>530</v>
      </c>
      <c r="D165" s="38" t="s">
        <v>498</v>
      </c>
      <c r="E165" s="38"/>
      <c r="F165" s="38" t="s">
        <v>540</v>
      </c>
      <c r="G165" s="39" t="s">
        <v>529</v>
      </c>
      <c r="H165" s="38"/>
      <c r="I165" s="29"/>
      <c r="J165" s="29"/>
      <c r="K165" s="29"/>
    </row>
    <row r="166" customFormat="false" ht="40.5" hidden="false" customHeight="true" outlineLevel="0" collapsed="false">
      <c r="A166" s="37" t="n">
        <v>150</v>
      </c>
      <c r="B166" s="38" t="s">
        <v>65</v>
      </c>
      <c r="C166" s="38" t="s">
        <v>530</v>
      </c>
      <c r="D166" s="38" t="s">
        <v>537</v>
      </c>
      <c r="E166" s="38"/>
      <c r="F166" s="38" t="s">
        <v>550</v>
      </c>
      <c r="G166" s="39" t="s">
        <v>551</v>
      </c>
      <c r="H166" s="38"/>
      <c r="I166" s="29"/>
      <c r="J166" s="29"/>
      <c r="K166" s="29"/>
    </row>
    <row r="167" customFormat="false" ht="40.5" hidden="false" customHeight="true" outlineLevel="0" collapsed="false">
      <c r="A167" s="37" t="n">
        <v>151</v>
      </c>
      <c r="B167" s="38" t="s">
        <v>65</v>
      </c>
      <c r="C167" s="38" t="s">
        <v>530</v>
      </c>
      <c r="D167" s="38" t="s">
        <v>547</v>
      </c>
      <c r="E167" s="38"/>
      <c r="F167" s="38" t="s">
        <v>552</v>
      </c>
      <c r="G167" s="39" t="s">
        <v>553</v>
      </c>
      <c r="H167" s="38"/>
      <c r="I167" s="29"/>
      <c r="J167" s="29"/>
      <c r="K167" s="29"/>
    </row>
    <row r="168" customFormat="false" ht="40.5" hidden="false" customHeight="true" outlineLevel="0" collapsed="false">
      <c r="A168" s="37" t="n">
        <v>152</v>
      </c>
      <c r="B168" s="38" t="s">
        <v>65</v>
      </c>
      <c r="C168" s="38" t="s">
        <v>530</v>
      </c>
      <c r="D168" s="38" t="s">
        <v>498</v>
      </c>
      <c r="E168" s="38"/>
      <c r="F168" s="38" t="s">
        <v>518</v>
      </c>
      <c r="G168" s="39" t="s">
        <v>519</v>
      </c>
      <c r="H168" s="38"/>
      <c r="I168" s="29"/>
      <c r="J168" s="29"/>
      <c r="K168" s="29"/>
    </row>
    <row r="169" customFormat="false" ht="40.5" hidden="false" customHeight="true" outlineLevel="0" collapsed="false">
      <c r="A169" s="37" t="n">
        <v>153</v>
      </c>
      <c r="B169" s="38" t="s">
        <v>65</v>
      </c>
      <c r="C169" s="38" t="s">
        <v>530</v>
      </c>
      <c r="D169" s="38" t="s">
        <v>498</v>
      </c>
      <c r="E169" s="38"/>
      <c r="F169" s="38" t="s">
        <v>520</v>
      </c>
      <c r="G169" s="39" t="s">
        <v>521</v>
      </c>
      <c r="H169" s="38"/>
      <c r="I169" s="29"/>
      <c r="J169" s="29"/>
      <c r="K169" s="29"/>
    </row>
    <row r="170" customFormat="false" ht="40.5" hidden="false" customHeight="true" outlineLevel="0" collapsed="false">
      <c r="A170" s="37" t="n">
        <v>154</v>
      </c>
      <c r="B170" s="38" t="s">
        <v>65</v>
      </c>
      <c r="C170" s="38" t="s">
        <v>530</v>
      </c>
      <c r="D170" s="38" t="s">
        <v>498</v>
      </c>
      <c r="E170" s="38"/>
      <c r="F170" s="38" t="s">
        <v>540</v>
      </c>
      <c r="G170" s="39" t="s">
        <v>529</v>
      </c>
      <c r="H170" s="38"/>
      <c r="I170" s="29"/>
      <c r="J170" s="29"/>
      <c r="K170" s="29"/>
    </row>
    <row r="171" customFormat="false" ht="40.5" hidden="false" customHeight="true" outlineLevel="0" collapsed="false">
      <c r="A171" s="37" t="n">
        <v>155</v>
      </c>
      <c r="B171" s="38" t="s">
        <v>65</v>
      </c>
      <c r="C171" s="38" t="s">
        <v>554</v>
      </c>
      <c r="D171" s="38" t="s">
        <v>531</v>
      </c>
      <c r="E171" s="38"/>
      <c r="F171" s="38" t="s">
        <v>555</v>
      </c>
      <c r="G171" s="39" t="s">
        <v>556</v>
      </c>
      <c r="H171" s="38"/>
      <c r="I171" s="29"/>
      <c r="J171" s="29"/>
      <c r="K171" s="29"/>
    </row>
    <row r="172" customFormat="false" ht="40.5" hidden="false" customHeight="true" outlineLevel="0" collapsed="false">
      <c r="A172" s="37" t="n">
        <v>156</v>
      </c>
      <c r="B172" s="38" t="s">
        <v>65</v>
      </c>
      <c r="C172" s="38" t="s">
        <v>554</v>
      </c>
      <c r="D172" s="38" t="s">
        <v>537</v>
      </c>
      <c r="E172" s="38"/>
      <c r="F172" s="38" t="s">
        <v>557</v>
      </c>
      <c r="G172" s="39" t="s">
        <v>558</v>
      </c>
      <c r="H172" s="38"/>
      <c r="I172" s="29"/>
      <c r="J172" s="29"/>
      <c r="K172" s="29"/>
    </row>
    <row r="173" customFormat="false" ht="40.5" hidden="false" customHeight="true" outlineLevel="0" collapsed="false">
      <c r="A173" s="37" t="n">
        <v>157</v>
      </c>
      <c r="B173" s="38" t="s">
        <v>65</v>
      </c>
      <c r="C173" s="38" t="s">
        <v>554</v>
      </c>
      <c r="D173" s="38" t="s">
        <v>498</v>
      </c>
      <c r="E173" s="38"/>
      <c r="F173" s="38" t="s">
        <v>559</v>
      </c>
      <c r="G173" s="39" t="s">
        <v>560</v>
      </c>
      <c r="H173" s="38"/>
      <c r="I173" s="29"/>
      <c r="J173" s="29"/>
      <c r="K173" s="29"/>
    </row>
    <row r="174" customFormat="false" ht="40.5" hidden="false" customHeight="true" outlineLevel="0" collapsed="false">
      <c r="A174" s="37" t="n">
        <v>158</v>
      </c>
      <c r="B174" s="38" t="s">
        <v>65</v>
      </c>
      <c r="C174" s="38" t="s">
        <v>554</v>
      </c>
      <c r="D174" s="38" t="s">
        <v>498</v>
      </c>
      <c r="E174" s="38"/>
      <c r="F174" s="38" t="s">
        <v>561</v>
      </c>
      <c r="G174" s="39" t="s">
        <v>562</v>
      </c>
      <c r="H174" s="38"/>
      <c r="I174" s="29"/>
      <c r="J174" s="29"/>
      <c r="K174" s="29"/>
    </row>
    <row r="175" customFormat="false" ht="40.5" hidden="false" customHeight="true" outlineLevel="0" collapsed="false">
      <c r="A175" s="37" t="n">
        <v>159</v>
      </c>
      <c r="B175" s="38" t="s">
        <v>65</v>
      </c>
      <c r="C175" s="38" t="s">
        <v>554</v>
      </c>
      <c r="D175" s="38" t="s">
        <v>498</v>
      </c>
      <c r="E175" s="38"/>
      <c r="F175" s="38" t="s">
        <v>563</v>
      </c>
      <c r="G175" s="39" t="s">
        <v>564</v>
      </c>
      <c r="H175" s="38"/>
      <c r="I175" s="29"/>
      <c r="J175" s="29"/>
      <c r="K175" s="29"/>
    </row>
    <row r="176" customFormat="false" ht="40.5" hidden="false" customHeight="true" outlineLevel="0" collapsed="false">
      <c r="A176" s="37" t="n">
        <v>160</v>
      </c>
      <c r="B176" s="38" t="s">
        <v>65</v>
      </c>
      <c r="C176" s="38" t="s">
        <v>554</v>
      </c>
      <c r="D176" s="38" t="s">
        <v>537</v>
      </c>
      <c r="E176" s="38"/>
      <c r="F176" s="38" t="s">
        <v>565</v>
      </c>
      <c r="G176" s="39" t="s">
        <v>566</v>
      </c>
      <c r="H176" s="38"/>
      <c r="I176" s="29"/>
      <c r="J176" s="29"/>
      <c r="K176" s="29"/>
    </row>
    <row r="177" customFormat="false" ht="40.5" hidden="false" customHeight="true" outlineLevel="0" collapsed="false">
      <c r="A177" s="37" t="n">
        <v>161</v>
      </c>
      <c r="B177" s="38" t="s">
        <v>65</v>
      </c>
      <c r="C177" s="38" t="s">
        <v>554</v>
      </c>
      <c r="D177" s="38" t="s">
        <v>498</v>
      </c>
      <c r="E177" s="38"/>
      <c r="F177" s="38" t="s">
        <v>567</v>
      </c>
      <c r="G177" s="39" t="s">
        <v>568</v>
      </c>
      <c r="H177" s="38"/>
      <c r="I177" s="29"/>
      <c r="J177" s="29"/>
      <c r="K177" s="29"/>
    </row>
    <row r="178" customFormat="false" ht="40.5" hidden="false" customHeight="true" outlineLevel="0" collapsed="false">
      <c r="A178" s="37" t="n">
        <v>162</v>
      </c>
      <c r="B178" s="38" t="s">
        <v>65</v>
      </c>
      <c r="C178" s="38" t="s">
        <v>554</v>
      </c>
      <c r="D178" s="38" t="s">
        <v>498</v>
      </c>
      <c r="E178" s="38"/>
      <c r="F178" s="38" t="s">
        <v>569</v>
      </c>
      <c r="G178" s="38" t="s">
        <v>570</v>
      </c>
      <c r="H178" s="38"/>
      <c r="I178" s="29"/>
      <c r="J178" s="29"/>
      <c r="K178" s="29"/>
    </row>
    <row r="179" customFormat="false" ht="40.5" hidden="false" customHeight="true" outlineLevel="0" collapsed="false">
      <c r="A179" s="37" t="n">
        <v>163</v>
      </c>
      <c r="B179" s="38" t="s">
        <v>65</v>
      </c>
      <c r="C179" s="38" t="s">
        <v>554</v>
      </c>
      <c r="D179" s="38" t="s">
        <v>498</v>
      </c>
      <c r="E179" s="38"/>
      <c r="F179" s="38" t="s">
        <v>571</v>
      </c>
      <c r="G179" s="38" t="s">
        <v>572</v>
      </c>
      <c r="H179" s="38"/>
      <c r="I179" s="29"/>
      <c r="J179" s="29"/>
      <c r="K179" s="29"/>
    </row>
    <row r="180" customFormat="false" ht="40.5" hidden="false" customHeight="true" outlineLevel="0" collapsed="false">
      <c r="A180" s="37" t="n">
        <v>164</v>
      </c>
      <c r="B180" s="38" t="s">
        <v>65</v>
      </c>
      <c r="C180" s="38" t="s">
        <v>554</v>
      </c>
      <c r="D180" s="38" t="s">
        <v>498</v>
      </c>
      <c r="E180" s="38"/>
      <c r="F180" s="38" t="s">
        <v>573</v>
      </c>
      <c r="G180" s="39" t="s">
        <v>574</v>
      </c>
      <c r="H180" s="38"/>
      <c r="I180" s="29"/>
      <c r="J180" s="29"/>
      <c r="K180" s="29"/>
    </row>
    <row r="181" customFormat="false" ht="40.5" hidden="false" customHeight="true" outlineLevel="0" collapsed="false">
      <c r="A181" s="37" t="n">
        <v>165</v>
      </c>
      <c r="B181" s="38" t="s">
        <v>65</v>
      </c>
      <c r="C181" s="38" t="s">
        <v>554</v>
      </c>
      <c r="D181" s="38" t="s">
        <v>537</v>
      </c>
      <c r="E181" s="38"/>
      <c r="F181" s="38" t="s">
        <v>575</v>
      </c>
      <c r="G181" s="39" t="s">
        <v>576</v>
      </c>
      <c r="H181" s="38"/>
      <c r="I181" s="29"/>
      <c r="J181" s="29"/>
      <c r="K181" s="29"/>
    </row>
    <row r="182" customFormat="false" ht="40.5" hidden="false" customHeight="true" outlineLevel="0" collapsed="false">
      <c r="A182" s="37" t="n">
        <v>166</v>
      </c>
      <c r="B182" s="38" t="s">
        <v>65</v>
      </c>
      <c r="C182" s="38" t="s">
        <v>554</v>
      </c>
      <c r="D182" s="38" t="s">
        <v>498</v>
      </c>
      <c r="E182" s="38"/>
      <c r="F182" s="38" t="s">
        <v>577</v>
      </c>
      <c r="G182" s="39" t="s">
        <v>578</v>
      </c>
      <c r="H182" s="38"/>
      <c r="I182" s="29"/>
      <c r="J182" s="29"/>
      <c r="K182" s="29"/>
    </row>
    <row r="183" customFormat="false" ht="40.5" hidden="false" customHeight="true" outlineLevel="0" collapsed="false">
      <c r="A183" s="37" t="n">
        <v>167</v>
      </c>
      <c r="B183" s="38" t="s">
        <v>65</v>
      </c>
      <c r="C183" s="38" t="s">
        <v>554</v>
      </c>
      <c r="D183" s="38" t="s">
        <v>498</v>
      </c>
      <c r="E183" s="38"/>
      <c r="F183" s="38" t="s">
        <v>579</v>
      </c>
      <c r="G183" s="38" t="s">
        <v>580</v>
      </c>
      <c r="H183" s="38"/>
      <c r="I183" s="29"/>
      <c r="J183" s="29"/>
      <c r="K183" s="29"/>
    </row>
    <row r="184" customFormat="false" ht="40.5" hidden="false" customHeight="true" outlineLevel="0" collapsed="false">
      <c r="A184" s="37" t="n">
        <v>168</v>
      </c>
      <c r="B184" s="38" t="s">
        <v>65</v>
      </c>
      <c r="C184" s="38" t="s">
        <v>554</v>
      </c>
      <c r="D184" s="38" t="s">
        <v>498</v>
      </c>
      <c r="E184" s="38"/>
      <c r="F184" s="38" t="s">
        <v>581</v>
      </c>
      <c r="G184" s="38" t="s">
        <v>582</v>
      </c>
      <c r="H184" s="38"/>
      <c r="I184" s="29"/>
      <c r="J184" s="29"/>
      <c r="K184" s="29"/>
    </row>
    <row r="185" customFormat="false" ht="40.5" hidden="false" customHeight="true" outlineLevel="0" collapsed="false">
      <c r="A185" s="37" t="n">
        <v>169</v>
      </c>
      <c r="B185" s="38" t="s">
        <v>65</v>
      </c>
      <c r="C185" s="38" t="s">
        <v>554</v>
      </c>
      <c r="D185" s="38" t="s">
        <v>498</v>
      </c>
      <c r="E185" s="38"/>
      <c r="F185" s="38" t="s">
        <v>583</v>
      </c>
      <c r="G185" s="39" t="s">
        <v>584</v>
      </c>
      <c r="H185" s="38"/>
      <c r="I185" s="29"/>
      <c r="J185" s="29"/>
      <c r="K185" s="29"/>
    </row>
    <row r="186" customFormat="false" ht="40.5" hidden="false" customHeight="true" outlineLevel="0" collapsed="false">
      <c r="A186" s="37" t="n">
        <v>170</v>
      </c>
      <c r="B186" s="38" t="s">
        <v>65</v>
      </c>
      <c r="C186" s="38" t="s">
        <v>554</v>
      </c>
      <c r="D186" s="38" t="s">
        <v>537</v>
      </c>
      <c r="E186" s="38"/>
      <c r="F186" s="38" t="s">
        <v>585</v>
      </c>
      <c r="G186" s="39" t="s">
        <v>586</v>
      </c>
      <c r="H186" s="38"/>
      <c r="I186" s="29"/>
      <c r="J186" s="29"/>
      <c r="K186" s="29"/>
    </row>
    <row r="187" customFormat="false" ht="40.5" hidden="false" customHeight="true" outlineLevel="0" collapsed="false">
      <c r="A187" s="37" t="n">
        <v>171</v>
      </c>
      <c r="B187" s="38" t="s">
        <v>65</v>
      </c>
      <c r="C187" s="38" t="s">
        <v>554</v>
      </c>
      <c r="D187" s="38" t="s">
        <v>498</v>
      </c>
      <c r="E187" s="38"/>
      <c r="F187" s="38" t="s">
        <v>587</v>
      </c>
      <c r="G187" s="39" t="s">
        <v>588</v>
      </c>
      <c r="H187" s="38"/>
      <c r="I187" s="29"/>
      <c r="J187" s="29"/>
      <c r="K187" s="29"/>
    </row>
    <row r="188" customFormat="false" ht="40.5" hidden="false" customHeight="true" outlineLevel="0" collapsed="false">
      <c r="A188" s="37" t="n">
        <v>172</v>
      </c>
      <c r="B188" s="38" t="s">
        <v>65</v>
      </c>
      <c r="C188" s="38" t="s">
        <v>554</v>
      </c>
      <c r="D188" s="38" t="s">
        <v>498</v>
      </c>
      <c r="E188" s="38"/>
      <c r="F188" s="38" t="s">
        <v>589</v>
      </c>
      <c r="G188" s="39" t="s">
        <v>590</v>
      </c>
      <c r="H188" s="38"/>
      <c r="I188" s="29"/>
      <c r="J188" s="29"/>
      <c r="K188" s="29"/>
    </row>
    <row r="189" customFormat="false" ht="40.5" hidden="false" customHeight="true" outlineLevel="0" collapsed="false">
      <c r="A189" s="37" t="n">
        <v>173</v>
      </c>
      <c r="B189" s="38" t="s">
        <v>65</v>
      </c>
      <c r="C189" s="38" t="s">
        <v>554</v>
      </c>
      <c r="D189" s="38" t="s">
        <v>498</v>
      </c>
      <c r="E189" s="38"/>
      <c r="F189" s="38" t="s">
        <v>591</v>
      </c>
      <c r="G189" s="39" t="s">
        <v>592</v>
      </c>
      <c r="H189" s="38"/>
      <c r="I189" s="29"/>
      <c r="J189" s="29"/>
      <c r="K189" s="29"/>
    </row>
    <row r="190" customFormat="false" ht="40.5" hidden="false" customHeight="true" outlineLevel="0" collapsed="false">
      <c r="A190" s="37" t="n">
        <v>174</v>
      </c>
      <c r="B190" s="38" t="s">
        <v>65</v>
      </c>
      <c r="C190" s="38" t="s">
        <v>554</v>
      </c>
      <c r="D190" s="38" t="s">
        <v>537</v>
      </c>
      <c r="E190" s="38"/>
      <c r="F190" s="38" t="s">
        <v>593</v>
      </c>
      <c r="G190" s="39" t="s">
        <v>594</v>
      </c>
      <c r="H190" s="38"/>
      <c r="I190" s="29"/>
      <c r="J190" s="29"/>
      <c r="K190" s="29"/>
    </row>
    <row r="191" customFormat="false" ht="54" hidden="false" customHeight="true" outlineLevel="0" collapsed="false">
      <c r="A191" s="37" t="n">
        <v>175</v>
      </c>
      <c r="B191" s="38" t="s">
        <v>65</v>
      </c>
      <c r="C191" s="38" t="s">
        <v>554</v>
      </c>
      <c r="D191" s="38" t="s">
        <v>547</v>
      </c>
      <c r="E191" s="38"/>
      <c r="F191" s="38" t="s">
        <v>595</v>
      </c>
      <c r="G191" s="38" t="s">
        <v>596</v>
      </c>
      <c r="H191" s="38" t="s">
        <v>597</v>
      </c>
      <c r="I191" s="29"/>
      <c r="J191" s="29"/>
      <c r="K191" s="29"/>
    </row>
    <row r="192" customFormat="false" ht="40.5" hidden="false" customHeight="true" outlineLevel="0" collapsed="false">
      <c r="A192" s="37" t="n">
        <v>176</v>
      </c>
      <c r="B192" s="38" t="s">
        <v>65</v>
      </c>
      <c r="C192" s="38" t="s">
        <v>554</v>
      </c>
      <c r="D192" s="38" t="s">
        <v>498</v>
      </c>
      <c r="E192" s="38"/>
      <c r="F192" s="38" t="s">
        <v>598</v>
      </c>
      <c r="G192" s="39" t="s">
        <v>599</v>
      </c>
      <c r="H192" s="38"/>
      <c r="I192" s="29"/>
      <c r="J192" s="29"/>
      <c r="K192" s="29"/>
    </row>
    <row r="193" customFormat="false" ht="40.5" hidden="false" customHeight="true" outlineLevel="0" collapsed="false">
      <c r="A193" s="37" t="n">
        <v>177</v>
      </c>
      <c r="B193" s="38" t="s">
        <v>65</v>
      </c>
      <c r="C193" s="38" t="s">
        <v>554</v>
      </c>
      <c r="D193" s="38" t="s">
        <v>498</v>
      </c>
      <c r="E193" s="38"/>
      <c r="F193" s="38" t="s">
        <v>600</v>
      </c>
      <c r="G193" s="38" t="s">
        <v>601</v>
      </c>
      <c r="H193" s="38"/>
      <c r="I193" s="29"/>
      <c r="J193" s="29"/>
      <c r="K193" s="29"/>
    </row>
    <row r="194" customFormat="false" ht="40.5" hidden="false" customHeight="true" outlineLevel="0" collapsed="false">
      <c r="A194" s="37" t="n">
        <v>178</v>
      </c>
      <c r="B194" s="38" t="s">
        <v>65</v>
      </c>
      <c r="C194" s="38" t="s">
        <v>554</v>
      </c>
      <c r="D194" s="38" t="s">
        <v>498</v>
      </c>
      <c r="E194" s="38"/>
      <c r="F194" s="38" t="s">
        <v>602</v>
      </c>
      <c r="G194" s="38" t="s">
        <v>603</v>
      </c>
      <c r="H194" s="38"/>
      <c r="I194" s="29"/>
      <c r="J194" s="29"/>
      <c r="K194" s="29"/>
    </row>
    <row r="195" customFormat="false" ht="40.5" hidden="false" customHeight="true" outlineLevel="0" collapsed="false">
      <c r="A195" s="37" t="n">
        <v>179</v>
      </c>
      <c r="B195" s="38" t="s">
        <v>65</v>
      </c>
      <c r="C195" s="38" t="s">
        <v>554</v>
      </c>
      <c r="D195" s="38" t="s">
        <v>498</v>
      </c>
      <c r="E195" s="38"/>
      <c r="F195" s="38" t="s">
        <v>604</v>
      </c>
      <c r="G195" s="38" t="s">
        <v>605</v>
      </c>
      <c r="H195" s="38"/>
      <c r="I195" s="29"/>
      <c r="J195" s="29"/>
      <c r="K195" s="29"/>
    </row>
    <row r="196" customFormat="false" ht="40.5" hidden="false" customHeight="true" outlineLevel="0" collapsed="false">
      <c r="A196" s="37" t="n">
        <v>180</v>
      </c>
      <c r="B196" s="38" t="s">
        <v>65</v>
      </c>
      <c r="C196" s="38" t="s">
        <v>554</v>
      </c>
      <c r="D196" s="38" t="s">
        <v>498</v>
      </c>
      <c r="E196" s="38"/>
      <c r="F196" s="38" t="s">
        <v>606</v>
      </c>
      <c r="G196" s="39" t="s">
        <v>607</v>
      </c>
      <c r="H196" s="38"/>
      <c r="I196" s="29"/>
      <c r="J196" s="29"/>
      <c r="K196" s="29"/>
    </row>
    <row r="197" customFormat="false" ht="40.5" hidden="false" customHeight="true" outlineLevel="0" collapsed="false">
      <c r="A197" s="37" t="n">
        <v>181</v>
      </c>
      <c r="B197" s="38" t="s">
        <v>65</v>
      </c>
      <c r="C197" s="38" t="s">
        <v>608</v>
      </c>
      <c r="D197" s="38" t="s">
        <v>609</v>
      </c>
      <c r="E197" s="38"/>
      <c r="F197" s="38" t="s">
        <v>610</v>
      </c>
      <c r="G197" s="39" t="s">
        <v>611</v>
      </c>
      <c r="H197" s="38"/>
      <c r="I197" s="29"/>
      <c r="J197" s="29"/>
      <c r="K197" s="29"/>
    </row>
    <row r="198" customFormat="false" ht="40.5" hidden="false" customHeight="true" outlineLevel="0" collapsed="false">
      <c r="A198" s="37" t="n">
        <v>182</v>
      </c>
      <c r="B198" s="38" t="s">
        <v>65</v>
      </c>
      <c r="C198" s="38" t="s">
        <v>608</v>
      </c>
      <c r="D198" s="38" t="s">
        <v>612</v>
      </c>
      <c r="E198" s="38"/>
      <c r="F198" s="38" t="s">
        <v>613</v>
      </c>
      <c r="G198" s="39" t="s">
        <v>614</v>
      </c>
      <c r="H198" s="38"/>
      <c r="I198" s="29"/>
      <c r="J198" s="29"/>
      <c r="K198" s="29"/>
    </row>
    <row r="199" customFormat="false" ht="40.5" hidden="false" customHeight="true" outlineLevel="0" collapsed="false">
      <c r="A199" s="37" t="n">
        <v>183</v>
      </c>
      <c r="B199" s="38" t="s">
        <v>65</v>
      </c>
      <c r="C199" s="38" t="s">
        <v>608</v>
      </c>
      <c r="D199" s="38" t="s">
        <v>615</v>
      </c>
      <c r="E199" s="38"/>
      <c r="F199" s="38" t="s">
        <v>616</v>
      </c>
      <c r="G199" s="38" t="s">
        <v>617</v>
      </c>
      <c r="H199" s="38"/>
      <c r="I199" s="29"/>
      <c r="J199" s="29"/>
      <c r="K199" s="29"/>
    </row>
    <row r="200" customFormat="false" ht="67.5" hidden="false" customHeight="true" outlineLevel="0" collapsed="false">
      <c r="A200" s="30" t="s">
        <v>618</v>
      </c>
      <c r="B200" s="31" t="s">
        <v>65</v>
      </c>
      <c r="C200" s="31" t="s">
        <v>608</v>
      </c>
      <c r="D200" s="31" t="s">
        <v>619</v>
      </c>
      <c r="E200" s="31"/>
      <c r="F200" s="31" t="s">
        <v>620</v>
      </c>
      <c r="G200" s="32" t="s">
        <v>621</v>
      </c>
      <c r="H200" s="31" t="s">
        <v>622</v>
      </c>
      <c r="I200" s="31"/>
      <c r="J200" s="31"/>
      <c r="K200" s="29"/>
    </row>
    <row r="201" customFormat="false" ht="40.5" hidden="false" customHeight="true" outlineLevel="0" collapsed="false">
      <c r="A201" s="37" t="n">
        <v>184</v>
      </c>
      <c r="B201" s="38" t="s">
        <v>65</v>
      </c>
      <c r="C201" s="38" t="s">
        <v>608</v>
      </c>
      <c r="D201" s="38" t="s">
        <v>623</v>
      </c>
      <c r="E201" s="38"/>
      <c r="F201" s="38" t="s">
        <v>624</v>
      </c>
      <c r="G201" s="39" t="s">
        <v>625</v>
      </c>
      <c r="H201" s="38" t="s">
        <v>626</v>
      </c>
      <c r="I201" s="29"/>
      <c r="J201" s="29"/>
      <c r="K201" s="29"/>
    </row>
    <row r="202" customFormat="false" ht="40.5" hidden="false" customHeight="true" outlineLevel="0" collapsed="false">
      <c r="A202" s="37" t="n">
        <v>185</v>
      </c>
      <c r="B202" s="38" t="s">
        <v>65</v>
      </c>
      <c r="C202" s="38" t="s">
        <v>608</v>
      </c>
      <c r="D202" s="38" t="s">
        <v>627</v>
      </c>
      <c r="E202" s="38"/>
      <c r="F202" s="38" t="s">
        <v>628</v>
      </c>
      <c r="G202" s="38" t="s">
        <v>629</v>
      </c>
      <c r="H202" s="38"/>
      <c r="I202" s="29"/>
      <c r="J202" s="29"/>
      <c r="K202" s="29"/>
    </row>
    <row r="203" customFormat="false" ht="40.5" hidden="false" customHeight="true" outlineLevel="0" collapsed="false">
      <c r="A203" s="37" t="n">
        <v>186</v>
      </c>
      <c r="B203" s="38" t="s">
        <v>65</v>
      </c>
      <c r="C203" s="38" t="s">
        <v>630</v>
      </c>
      <c r="D203" s="38" t="s">
        <v>495</v>
      </c>
      <c r="E203" s="38"/>
      <c r="F203" s="38" t="s">
        <v>631</v>
      </c>
      <c r="G203" s="39" t="s">
        <v>632</v>
      </c>
      <c r="H203" s="38"/>
      <c r="I203" s="29"/>
      <c r="J203" s="29"/>
      <c r="K203" s="29"/>
    </row>
    <row r="204" customFormat="false" ht="40.5" hidden="false" customHeight="true" outlineLevel="0" collapsed="false">
      <c r="A204" s="37" t="n">
        <v>187</v>
      </c>
      <c r="B204" s="38" t="s">
        <v>65</v>
      </c>
      <c r="C204" s="38" t="s">
        <v>630</v>
      </c>
      <c r="D204" s="38" t="s">
        <v>547</v>
      </c>
      <c r="E204" s="38"/>
      <c r="F204" s="38" t="s">
        <v>633</v>
      </c>
      <c r="G204" s="39" t="s">
        <v>634</v>
      </c>
      <c r="H204" s="38"/>
      <c r="I204" s="29"/>
      <c r="J204" s="29"/>
      <c r="K204" s="29"/>
    </row>
    <row r="205" customFormat="false" ht="40.5" hidden="false" customHeight="true" outlineLevel="0" collapsed="false">
      <c r="A205" s="37" t="n">
        <v>188</v>
      </c>
      <c r="B205" s="38" t="s">
        <v>65</v>
      </c>
      <c r="C205" s="38" t="s">
        <v>630</v>
      </c>
      <c r="D205" s="38" t="s">
        <v>498</v>
      </c>
      <c r="E205" s="38"/>
      <c r="F205" s="38" t="s">
        <v>635</v>
      </c>
      <c r="G205" s="39" t="s">
        <v>636</v>
      </c>
      <c r="H205" s="38"/>
      <c r="I205" s="29"/>
      <c r="J205" s="29"/>
      <c r="K205" s="29"/>
    </row>
    <row r="206" customFormat="false" ht="40.5" hidden="false" customHeight="true" outlineLevel="0" collapsed="false">
      <c r="A206" s="37" t="n">
        <v>189</v>
      </c>
      <c r="B206" s="38" t="s">
        <v>65</v>
      </c>
      <c r="C206" s="38" t="s">
        <v>630</v>
      </c>
      <c r="D206" s="38" t="s">
        <v>498</v>
      </c>
      <c r="E206" s="38"/>
      <c r="F206" s="38" t="s">
        <v>637</v>
      </c>
      <c r="G206" s="39" t="s">
        <v>638</v>
      </c>
      <c r="H206" s="38"/>
      <c r="I206" s="29"/>
      <c r="J206" s="29"/>
      <c r="K206" s="29"/>
    </row>
    <row r="207" customFormat="false" ht="40.5" hidden="false" customHeight="true" outlineLevel="0" collapsed="false">
      <c r="A207" s="37" t="n">
        <v>190</v>
      </c>
      <c r="B207" s="38" t="s">
        <v>65</v>
      </c>
      <c r="C207" s="38" t="s">
        <v>630</v>
      </c>
      <c r="D207" s="38" t="s">
        <v>498</v>
      </c>
      <c r="E207" s="38"/>
      <c r="F207" s="38" t="s">
        <v>639</v>
      </c>
      <c r="G207" s="39" t="s">
        <v>640</v>
      </c>
      <c r="H207" s="38"/>
      <c r="I207" s="29"/>
      <c r="J207" s="29"/>
      <c r="K207" s="29"/>
    </row>
    <row r="208" customFormat="false" ht="40.5" hidden="false" customHeight="true" outlineLevel="0" collapsed="false">
      <c r="A208" s="37" t="n">
        <v>191</v>
      </c>
      <c r="B208" s="38" t="s">
        <v>65</v>
      </c>
      <c r="C208" s="38" t="s">
        <v>630</v>
      </c>
      <c r="D208" s="38" t="s">
        <v>498</v>
      </c>
      <c r="E208" s="38"/>
      <c r="F208" s="38" t="s">
        <v>641</v>
      </c>
      <c r="G208" s="39" t="s">
        <v>642</v>
      </c>
      <c r="H208" s="38"/>
      <c r="I208" s="29"/>
      <c r="J208" s="29"/>
      <c r="K208" s="29"/>
    </row>
    <row r="209" customFormat="false" ht="40.5" hidden="false" customHeight="true" outlineLevel="0" collapsed="false">
      <c r="A209" s="37" t="n">
        <v>192</v>
      </c>
      <c r="B209" s="38" t="s">
        <v>65</v>
      </c>
      <c r="C209" s="38" t="s">
        <v>630</v>
      </c>
      <c r="D209" s="38" t="s">
        <v>498</v>
      </c>
      <c r="E209" s="38"/>
      <c r="F209" s="38" t="s">
        <v>643</v>
      </c>
      <c r="G209" s="39" t="s">
        <v>644</v>
      </c>
      <c r="H209" s="38"/>
      <c r="I209" s="29"/>
      <c r="J209" s="29"/>
      <c r="K209" s="29"/>
    </row>
    <row r="210" customFormat="false" ht="40.5" hidden="false" customHeight="true" outlineLevel="0" collapsed="false">
      <c r="A210" s="37" t="n">
        <v>193</v>
      </c>
      <c r="B210" s="38" t="s">
        <v>65</v>
      </c>
      <c r="C210" s="38" t="s">
        <v>645</v>
      </c>
      <c r="D210" s="38" t="s">
        <v>531</v>
      </c>
      <c r="E210" s="38"/>
      <c r="F210" s="38" t="s">
        <v>646</v>
      </c>
      <c r="G210" s="39" t="s">
        <v>647</v>
      </c>
      <c r="H210" s="38"/>
      <c r="I210" s="29"/>
      <c r="J210" s="29"/>
      <c r="K210" s="29"/>
    </row>
    <row r="211" customFormat="false" ht="40.5" hidden="false" customHeight="true" outlineLevel="0" collapsed="false">
      <c r="A211" s="37" t="n">
        <v>194</v>
      </c>
      <c r="B211" s="38" t="s">
        <v>65</v>
      </c>
      <c r="C211" s="38" t="s">
        <v>645</v>
      </c>
      <c r="D211" s="38" t="s">
        <v>537</v>
      </c>
      <c r="E211" s="38"/>
      <c r="F211" s="38" t="s">
        <v>648</v>
      </c>
      <c r="G211" s="39" t="s">
        <v>649</v>
      </c>
      <c r="H211" s="38"/>
      <c r="I211" s="29"/>
      <c r="J211" s="29"/>
      <c r="K211" s="29"/>
    </row>
    <row r="212" customFormat="false" ht="40.5" hidden="false" customHeight="true" outlineLevel="0" collapsed="false">
      <c r="A212" s="37" t="n">
        <v>195</v>
      </c>
      <c r="B212" s="38" t="s">
        <v>65</v>
      </c>
      <c r="C212" s="38" t="s">
        <v>645</v>
      </c>
      <c r="D212" s="38" t="s">
        <v>498</v>
      </c>
      <c r="E212" s="38"/>
      <c r="F212" s="38" t="s">
        <v>650</v>
      </c>
      <c r="G212" s="39" t="s">
        <v>651</v>
      </c>
      <c r="H212" s="38"/>
      <c r="I212" s="29"/>
      <c r="J212" s="29"/>
      <c r="K212" s="29"/>
    </row>
    <row r="213" customFormat="false" ht="40.5" hidden="false" customHeight="true" outlineLevel="0" collapsed="false">
      <c r="A213" s="37" t="n">
        <v>196</v>
      </c>
      <c r="B213" s="38" t="s">
        <v>65</v>
      </c>
      <c r="C213" s="38" t="s">
        <v>645</v>
      </c>
      <c r="D213" s="38" t="s">
        <v>498</v>
      </c>
      <c r="E213" s="38"/>
      <c r="F213" s="38" t="s">
        <v>652</v>
      </c>
      <c r="G213" s="39" t="s">
        <v>287</v>
      </c>
      <c r="H213" s="38"/>
      <c r="I213" s="29"/>
      <c r="J213" s="29"/>
      <c r="K213" s="29"/>
    </row>
    <row r="214" customFormat="false" ht="40.5" hidden="false" customHeight="true" outlineLevel="0" collapsed="false">
      <c r="A214" s="37" t="n">
        <v>197</v>
      </c>
      <c r="B214" s="38" t="s">
        <v>65</v>
      </c>
      <c r="C214" s="38" t="s">
        <v>645</v>
      </c>
      <c r="D214" s="38" t="s">
        <v>498</v>
      </c>
      <c r="E214" s="38"/>
      <c r="F214" s="38" t="s">
        <v>653</v>
      </c>
      <c r="G214" s="39" t="s">
        <v>654</v>
      </c>
      <c r="H214" s="38"/>
      <c r="I214" s="29"/>
      <c r="J214" s="29"/>
      <c r="K214" s="29"/>
    </row>
    <row r="215" customFormat="false" ht="40.5" hidden="false" customHeight="true" outlineLevel="0" collapsed="false">
      <c r="A215" s="37" t="n">
        <v>198</v>
      </c>
      <c r="B215" s="38" t="s">
        <v>65</v>
      </c>
      <c r="C215" s="38" t="s">
        <v>645</v>
      </c>
      <c r="D215" s="38" t="s">
        <v>498</v>
      </c>
      <c r="E215" s="38"/>
      <c r="F215" s="38" t="s">
        <v>655</v>
      </c>
      <c r="G215" s="39" t="s">
        <v>656</v>
      </c>
      <c r="H215" s="38"/>
      <c r="I215" s="29"/>
      <c r="J215" s="29"/>
      <c r="K215" s="29"/>
    </row>
    <row r="216" customFormat="false" ht="40.5" hidden="false" customHeight="true" outlineLevel="0" collapsed="false">
      <c r="A216" s="37" t="n">
        <v>199</v>
      </c>
      <c r="B216" s="38" t="s">
        <v>65</v>
      </c>
      <c r="C216" s="38" t="s">
        <v>645</v>
      </c>
      <c r="D216" s="38" t="s">
        <v>537</v>
      </c>
      <c r="E216" s="38"/>
      <c r="F216" s="38" t="s">
        <v>657</v>
      </c>
      <c r="G216" s="39" t="s">
        <v>658</v>
      </c>
      <c r="H216" s="38"/>
      <c r="I216" s="29"/>
      <c r="J216" s="29"/>
      <c r="K216" s="29"/>
    </row>
    <row r="217" customFormat="false" ht="40.5" hidden="false" customHeight="true" outlineLevel="0" collapsed="false">
      <c r="A217" s="37" t="n">
        <v>200</v>
      </c>
      <c r="B217" s="38" t="s">
        <v>65</v>
      </c>
      <c r="C217" s="38" t="s">
        <v>645</v>
      </c>
      <c r="D217" s="38" t="s">
        <v>498</v>
      </c>
      <c r="E217" s="38"/>
      <c r="F217" s="38" t="s">
        <v>650</v>
      </c>
      <c r="G217" s="39" t="s">
        <v>651</v>
      </c>
      <c r="H217" s="38"/>
      <c r="I217" s="29"/>
      <c r="J217" s="29"/>
      <c r="K217" s="29"/>
    </row>
    <row r="218" customFormat="false" ht="40.5" hidden="false" customHeight="true" outlineLevel="0" collapsed="false">
      <c r="A218" s="37" t="n">
        <v>201</v>
      </c>
      <c r="B218" s="38" t="s">
        <v>65</v>
      </c>
      <c r="C218" s="38" t="s">
        <v>645</v>
      </c>
      <c r="D218" s="38" t="s">
        <v>498</v>
      </c>
      <c r="E218" s="38"/>
      <c r="F218" s="38" t="s">
        <v>652</v>
      </c>
      <c r="G218" s="39" t="s">
        <v>287</v>
      </c>
      <c r="H218" s="38"/>
      <c r="I218" s="29"/>
      <c r="J218" s="29"/>
      <c r="K218" s="29"/>
    </row>
    <row r="219" customFormat="false" ht="40.5" hidden="false" customHeight="true" outlineLevel="0" collapsed="false">
      <c r="A219" s="37" t="n">
        <v>202</v>
      </c>
      <c r="B219" s="38" t="s">
        <v>65</v>
      </c>
      <c r="C219" s="38" t="s">
        <v>645</v>
      </c>
      <c r="D219" s="38" t="s">
        <v>498</v>
      </c>
      <c r="E219" s="38"/>
      <c r="F219" s="38" t="s">
        <v>653</v>
      </c>
      <c r="G219" s="39" t="s">
        <v>654</v>
      </c>
      <c r="H219" s="38"/>
      <c r="I219" s="29"/>
      <c r="J219" s="29"/>
      <c r="K219" s="29"/>
    </row>
    <row r="220" customFormat="false" ht="40.5" hidden="false" customHeight="true" outlineLevel="0" collapsed="false">
      <c r="A220" s="37" t="n">
        <v>203</v>
      </c>
      <c r="B220" s="38" t="s">
        <v>65</v>
      </c>
      <c r="C220" s="38" t="s">
        <v>645</v>
      </c>
      <c r="D220" s="38" t="s">
        <v>498</v>
      </c>
      <c r="E220" s="38"/>
      <c r="F220" s="38" t="s">
        <v>655</v>
      </c>
      <c r="G220" s="39" t="s">
        <v>656</v>
      </c>
      <c r="H220" s="38"/>
      <c r="I220" s="29"/>
      <c r="J220" s="29"/>
      <c r="K220" s="29"/>
    </row>
    <row r="221" customFormat="false" ht="40.5" hidden="false" customHeight="true" outlineLevel="0" collapsed="false">
      <c r="A221" s="37" t="n">
        <v>204</v>
      </c>
      <c r="B221" s="38" t="s">
        <v>65</v>
      </c>
      <c r="C221" s="38" t="s">
        <v>645</v>
      </c>
      <c r="D221" s="38" t="s">
        <v>537</v>
      </c>
      <c r="E221" s="38"/>
      <c r="F221" s="38" t="s">
        <v>659</v>
      </c>
      <c r="G221" s="39" t="s">
        <v>660</v>
      </c>
      <c r="H221" s="38"/>
      <c r="I221" s="29"/>
      <c r="J221" s="29"/>
      <c r="K221" s="29"/>
    </row>
    <row r="222" customFormat="false" ht="40.5" hidden="false" customHeight="true" outlineLevel="0" collapsed="false">
      <c r="A222" s="37" t="n">
        <v>205</v>
      </c>
      <c r="B222" s="38" t="s">
        <v>65</v>
      </c>
      <c r="C222" s="38" t="s">
        <v>645</v>
      </c>
      <c r="D222" s="38" t="s">
        <v>498</v>
      </c>
      <c r="E222" s="38"/>
      <c r="F222" s="38" t="s">
        <v>650</v>
      </c>
      <c r="G222" s="39" t="s">
        <v>651</v>
      </c>
      <c r="H222" s="38"/>
      <c r="I222" s="29"/>
      <c r="J222" s="29"/>
      <c r="K222" s="29"/>
    </row>
    <row r="223" customFormat="false" ht="40.5" hidden="false" customHeight="true" outlineLevel="0" collapsed="false">
      <c r="A223" s="37" t="n">
        <v>206</v>
      </c>
      <c r="B223" s="38" t="s">
        <v>65</v>
      </c>
      <c r="C223" s="38" t="s">
        <v>645</v>
      </c>
      <c r="D223" s="38" t="s">
        <v>498</v>
      </c>
      <c r="E223" s="38"/>
      <c r="F223" s="38" t="s">
        <v>652</v>
      </c>
      <c r="G223" s="39" t="s">
        <v>287</v>
      </c>
      <c r="H223" s="38"/>
      <c r="I223" s="29"/>
      <c r="J223" s="29"/>
      <c r="K223" s="29"/>
    </row>
    <row r="224" customFormat="false" ht="40.5" hidden="false" customHeight="true" outlineLevel="0" collapsed="false">
      <c r="A224" s="37" t="n">
        <v>207</v>
      </c>
      <c r="B224" s="38" t="s">
        <v>65</v>
      </c>
      <c r="C224" s="38" t="s">
        <v>645</v>
      </c>
      <c r="D224" s="38" t="s">
        <v>498</v>
      </c>
      <c r="E224" s="38"/>
      <c r="F224" s="38" t="s">
        <v>653</v>
      </c>
      <c r="G224" s="39" t="s">
        <v>654</v>
      </c>
      <c r="H224" s="38"/>
      <c r="I224" s="29"/>
      <c r="J224" s="29"/>
      <c r="K224" s="29"/>
    </row>
    <row r="225" customFormat="false" ht="40.5" hidden="false" customHeight="true" outlineLevel="0" collapsed="false">
      <c r="A225" s="37" t="n">
        <v>208</v>
      </c>
      <c r="B225" s="38" t="s">
        <v>65</v>
      </c>
      <c r="C225" s="38" t="s">
        <v>645</v>
      </c>
      <c r="D225" s="38" t="s">
        <v>498</v>
      </c>
      <c r="E225" s="38"/>
      <c r="F225" s="38" t="s">
        <v>655</v>
      </c>
      <c r="G225" s="39" t="s">
        <v>656</v>
      </c>
      <c r="H225" s="38"/>
      <c r="I225" s="29"/>
      <c r="J225" s="29"/>
      <c r="K225" s="29"/>
    </row>
    <row r="226" customFormat="false" ht="40.5" hidden="false" customHeight="true" outlineLevel="0" collapsed="false">
      <c r="A226" s="37" t="n">
        <v>209</v>
      </c>
      <c r="B226" s="38" t="s">
        <v>65</v>
      </c>
      <c r="C226" s="38" t="s">
        <v>661</v>
      </c>
      <c r="D226" s="38" t="s">
        <v>495</v>
      </c>
      <c r="E226" s="38" t="s">
        <v>662</v>
      </c>
      <c r="F226" s="38" t="s">
        <v>663</v>
      </c>
      <c r="G226" s="39" t="s">
        <v>664</v>
      </c>
      <c r="H226" s="38"/>
      <c r="I226" s="29"/>
      <c r="J226" s="29"/>
      <c r="K226" s="29"/>
    </row>
    <row r="227" customFormat="false" ht="40.5" hidden="false" customHeight="true" outlineLevel="0" collapsed="false">
      <c r="A227" s="37" t="n">
        <v>210</v>
      </c>
      <c r="B227" s="38" t="s">
        <v>65</v>
      </c>
      <c r="C227" s="38" t="s">
        <v>661</v>
      </c>
      <c r="D227" s="38" t="s">
        <v>498</v>
      </c>
      <c r="E227" s="38" t="s">
        <v>662</v>
      </c>
      <c r="F227" s="38" t="s">
        <v>665</v>
      </c>
      <c r="G227" s="39" t="s">
        <v>666</v>
      </c>
      <c r="H227" s="38"/>
      <c r="I227" s="29"/>
      <c r="J227" s="29"/>
      <c r="K227" s="29"/>
    </row>
    <row r="228" customFormat="false" ht="40.5" hidden="false" customHeight="true" outlineLevel="0" collapsed="false">
      <c r="A228" s="37" t="n">
        <v>211</v>
      </c>
      <c r="B228" s="38" t="s">
        <v>65</v>
      </c>
      <c r="C228" s="38" t="s">
        <v>661</v>
      </c>
      <c r="D228" s="38" t="s">
        <v>498</v>
      </c>
      <c r="E228" s="38" t="s">
        <v>662</v>
      </c>
      <c r="F228" s="38" t="s">
        <v>667</v>
      </c>
      <c r="G228" s="39" t="s">
        <v>668</v>
      </c>
      <c r="H228" s="38"/>
      <c r="I228" s="29"/>
      <c r="J228" s="29"/>
      <c r="K228" s="29"/>
    </row>
    <row r="229" customFormat="false" ht="40.5" hidden="false" customHeight="true" outlineLevel="0" collapsed="false">
      <c r="A229" s="37" t="n">
        <v>212</v>
      </c>
      <c r="B229" s="38" t="s">
        <v>65</v>
      </c>
      <c r="C229" s="38" t="s">
        <v>661</v>
      </c>
      <c r="D229" s="38" t="s">
        <v>495</v>
      </c>
      <c r="E229" s="38"/>
      <c r="F229" s="38" t="s">
        <v>669</v>
      </c>
      <c r="G229" s="39" t="s">
        <v>670</v>
      </c>
      <c r="H229" s="38"/>
      <c r="I229" s="29"/>
      <c r="J229" s="29"/>
      <c r="K229" s="29"/>
    </row>
    <row r="230" customFormat="false" ht="40.5" hidden="false" customHeight="true" outlineLevel="0" collapsed="false">
      <c r="A230" s="37" t="n">
        <v>213</v>
      </c>
      <c r="B230" s="38" t="s">
        <v>65</v>
      </c>
      <c r="C230" s="38" t="s">
        <v>661</v>
      </c>
      <c r="D230" s="38" t="s">
        <v>498</v>
      </c>
      <c r="E230" s="38"/>
      <c r="F230" s="38" t="s">
        <v>518</v>
      </c>
      <c r="G230" s="39" t="s">
        <v>519</v>
      </c>
      <c r="H230" s="38"/>
      <c r="I230" s="29"/>
      <c r="J230" s="29"/>
      <c r="K230" s="29"/>
    </row>
    <row r="231" customFormat="false" ht="40.5" hidden="false" customHeight="true" outlineLevel="0" collapsed="false">
      <c r="A231" s="37" t="n">
        <v>214</v>
      </c>
      <c r="B231" s="38" t="s">
        <v>65</v>
      </c>
      <c r="C231" s="38" t="s">
        <v>661</v>
      </c>
      <c r="D231" s="38" t="s">
        <v>498</v>
      </c>
      <c r="E231" s="38"/>
      <c r="F231" s="38" t="s">
        <v>520</v>
      </c>
      <c r="G231" s="39" t="s">
        <v>521</v>
      </c>
      <c r="H231" s="38"/>
      <c r="I231" s="29"/>
      <c r="J231" s="29"/>
      <c r="K231" s="29"/>
    </row>
    <row r="232" customFormat="false" ht="54" hidden="false" customHeight="true" outlineLevel="0" collapsed="false">
      <c r="A232" s="26" t="n">
        <v>215</v>
      </c>
      <c r="B232" s="27" t="s">
        <v>66</v>
      </c>
      <c r="C232" s="27"/>
      <c r="D232" s="27" t="s">
        <v>79</v>
      </c>
      <c r="E232" s="27"/>
      <c r="F232" s="27" t="s">
        <v>671</v>
      </c>
      <c r="G232" s="28" t="s">
        <v>672</v>
      </c>
      <c r="H232" s="27"/>
      <c r="I232" s="29"/>
      <c r="J232" s="29"/>
      <c r="K232" s="29"/>
    </row>
    <row r="233" customFormat="false" ht="54" hidden="false" customHeight="true" outlineLevel="0" collapsed="false">
      <c r="A233" s="26" t="n">
        <v>216</v>
      </c>
      <c r="B233" s="27" t="s">
        <v>66</v>
      </c>
      <c r="C233" s="27"/>
      <c r="D233" s="27" t="s">
        <v>673</v>
      </c>
      <c r="E233" s="27"/>
      <c r="F233" s="27" t="s">
        <v>674</v>
      </c>
      <c r="G233" s="28" t="s">
        <v>675</v>
      </c>
      <c r="H233" s="27" t="s">
        <v>128</v>
      </c>
      <c r="I233" s="29"/>
      <c r="J233" s="29"/>
      <c r="K233" s="29"/>
    </row>
    <row r="234" customFormat="false" ht="54" hidden="false" customHeight="true" outlineLevel="0" collapsed="false">
      <c r="A234" s="26" t="n">
        <v>217</v>
      </c>
      <c r="B234" s="27" t="s">
        <v>66</v>
      </c>
      <c r="C234" s="27"/>
      <c r="D234" s="27" t="s">
        <v>312</v>
      </c>
      <c r="E234" s="27"/>
      <c r="F234" s="27" t="s">
        <v>676</v>
      </c>
      <c r="G234" s="27" t="s">
        <v>677</v>
      </c>
      <c r="H234" s="27" t="s">
        <v>678</v>
      </c>
      <c r="I234" s="29"/>
      <c r="J234" s="29"/>
      <c r="K234" s="29"/>
    </row>
    <row r="235" customFormat="false" ht="54" hidden="false" customHeight="true" outlineLevel="0" collapsed="false">
      <c r="A235" s="26" t="n">
        <v>218</v>
      </c>
      <c r="B235" s="27" t="s">
        <v>66</v>
      </c>
      <c r="C235" s="27"/>
      <c r="D235" s="27" t="s">
        <v>679</v>
      </c>
      <c r="E235" s="27" t="s">
        <v>680</v>
      </c>
      <c r="F235" s="27" t="s">
        <v>681</v>
      </c>
      <c r="G235" s="28" t="s">
        <v>675</v>
      </c>
      <c r="H235" s="27"/>
      <c r="I235" s="29"/>
      <c r="J235" s="29"/>
      <c r="K235" s="29"/>
    </row>
    <row r="236" customFormat="false" ht="54" hidden="false" customHeight="true" outlineLevel="0" collapsed="false">
      <c r="A236" s="26" t="n">
        <v>219</v>
      </c>
      <c r="B236" s="27" t="s">
        <v>66</v>
      </c>
      <c r="C236" s="27"/>
      <c r="D236" s="27" t="s">
        <v>682</v>
      </c>
      <c r="E236" s="27"/>
      <c r="F236" s="27" t="s">
        <v>683</v>
      </c>
      <c r="G236" s="28" t="s">
        <v>684</v>
      </c>
      <c r="H236" s="27" t="s">
        <v>685</v>
      </c>
      <c r="I236" s="29"/>
      <c r="J236" s="29"/>
      <c r="K236" s="29"/>
    </row>
    <row r="237" customFormat="false" ht="54" hidden="false" customHeight="true" outlineLevel="0" collapsed="false">
      <c r="A237" s="26" t="n">
        <v>220</v>
      </c>
      <c r="B237" s="27" t="s">
        <v>66</v>
      </c>
      <c r="C237" s="27"/>
      <c r="D237" s="27" t="s">
        <v>686</v>
      </c>
      <c r="E237" s="27"/>
      <c r="F237" s="27" t="s">
        <v>687</v>
      </c>
      <c r="G237" s="28" t="s">
        <v>688</v>
      </c>
      <c r="H237" s="27" t="s">
        <v>685</v>
      </c>
      <c r="I237" s="29"/>
      <c r="J237" s="29"/>
      <c r="K237" s="29"/>
    </row>
    <row r="238" customFormat="false" ht="54" hidden="false" customHeight="true" outlineLevel="0" collapsed="false">
      <c r="A238" s="26" t="n">
        <v>221</v>
      </c>
      <c r="B238" s="27" t="s">
        <v>66</v>
      </c>
      <c r="C238" s="27"/>
      <c r="D238" s="27" t="s">
        <v>689</v>
      </c>
      <c r="E238" s="27"/>
      <c r="F238" s="27" t="s">
        <v>690</v>
      </c>
      <c r="G238" s="28" t="s">
        <v>691</v>
      </c>
      <c r="H238" s="27" t="s">
        <v>685</v>
      </c>
      <c r="I238" s="29"/>
      <c r="J238" s="29"/>
      <c r="K238" s="29"/>
    </row>
    <row r="239" customFormat="false" ht="54" hidden="false" customHeight="true" outlineLevel="0" collapsed="false">
      <c r="A239" s="26" t="n">
        <v>222</v>
      </c>
      <c r="B239" s="27" t="s">
        <v>66</v>
      </c>
      <c r="C239" s="27"/>
      <c r="D239" s="27" t="s">
        <v>692</v>
      </c>
      <c r="E239" s="27"/>
      <c r="F239" s="27" t="s">
        <v>693</v>
      </c>
      <c r="G239" s="28" t="s">
        <v>694</v>
      </c>
      <c r="H239" s="27" t="s">
        <v>685</v>
      </c>
      <c r="I239" s="29"/>
      <c r="J239" s="29"/>
      <c r="K239" s="29"/>
    </row>
    <row r="240" customFormat="false" ht="54" hidden="false" customHeight="true" outlineLevel="0" collapsed="false">
      <c r="A240" s="26" t="n">
        <v>223</v>
      </c>
      <c r="B240" s="27" t="s">
        <v>66</v>
      </c>
      <c r="C240" s="27"/>
      <c r="D240" s="27" t="s">
        <v>695</v>
      </c>
      <c r="E240" s="27"/>
      <c r="F240" s="27" t="s">
        <v>696</v>
      </c>
      <c r="G240" s="28" t="s">
        <v>697</v>
      </c>
      <c r="H240" s="27" t="s">
        <v>685</v>
      </c>
      <c r="I240" s="29"/>
      <c r="J240" s="29"/>
      <c r="K240" s="29"/>
    </row>
    <row r="241" customFormat="false" ht="121.5" hidden="false" customHeight="true" outlineLevel="0" collapsed="false">
      <c r="A241" s="30" t="s">
        <v>698</v>
      </c>
      <c r="B241" s="31" t="s">
        <v>67</v>
      </c>
      <c r="C241" s="31" t="s">
        <v>699</v>
      </c>
      <c r="D241" s="31" t="s">
        <v>700</v>
      </c>
      <c r="E241" s="31"/>
      <c r="F241" s="31" t="s">
        <v>701</v>
      </c>
      <c r="G241" s="31" t="s">
        <v>701</v>
      </c>
      <c r="H241" s="31" t="s">
        <v>702</v>
      </c>
      <c r="I241" s="31"/>
      <c r="J241" s="31"/>
      <c r="K241" s="29"/>
    </row>
    <row r="242" customFormat="false" ht="40.5" hidden="false" customHeight="true" outlineLevel="0" collapsed="false">
      <c r="A242" s="37" t="n">
        <v>224</v>
      </c>
      <c r="B242" s="38" t="s">
        <v>67</v>
      </c>
      <c r="C242" s="38" t="s">
        <v>703</v>
      </c>
      <c r="D242" s="38" t="s">
        <v>79</v>
      </c>
      <c r="E242" s="38"/>
      <c r="F242" s="38" t="s">
        <v>704</v>
      </c>
      <c r="G242" s="39" t="s">
        <v>705</v>
      </c>
      <c r="H242" s="38"/>
      <c r="I242" s="29"/>
      <c r="J242" s="29"/>
      <c r="K242" s="29"/>
    </row>
    <row r="243" customFormat="false" ht="40.5" hidden="false" customHeight="true" outlineLevel="0" collapsed="false">
      <c r="A243" s="37" t="n">
        <v>225</v>
      </c>
      <c r="B243" s="38" t="s">
        <v>67</v>
      </c>
      <c r="C243" s="38" t="s">
        <v>703</v>
      </c>
      <c r="D243" s="38" t="s">
        <v>706</v>
      </c>
      <c r="E243" s="38"/>
      <c r="F243" s="38" t="s">
        <v>707</v>
      </c>
      <c r="G243" s="39" t="s">
        <v>708</v>
      </c>
      <c r="H243" s="38"/>
      <c r="I243" s="29"/>
      <c r="J243" s="29"/>
      <c r="K243" s="29"/>
    </row>
    <row r="244" customFormat="false" ht="40.5" hidden="false" customHeight="true" outlineLevel="0" collapsed="false">
      <c r="A244" s="37" t="n">
        <v>226</v>
      </c>
      <c r="B244" s="38" t="s">
        <v>67</v>
      </c>
      <c r="C244" s="38" t="s">
        <v>703</v>
      </c>
      <c r="D244" s="38" t="s">
        <v>709</v>
      </c>
      <c r="E244" s="38"/>
      <c r="F244" s="38" t="s">
        <v>710</v>
      </c>
      <c r="G244" s="39" t="s">
        <v>711</v>
      </c>
      <c r="H244" s="38"/>
      <c r="I244" s="29"/>
      <c r="J244" s="29"/>
      <c r="K244" s="29"/>
    </row>
    <row r="245" customFormat="false" ht="40.5" hidden="false" customHeight="true" outlineLevel="0" collapsed="false">
      <c r="A245" s="37" t="n">
        <v>227</v>
      </c>
      <c r="B245" s="38" t="s">
        <v>67</v>
      </c>
      <c r="C245" s="38" t="s">
        <v>703</v>
      </c>
      <c r="D245" s="38" t="s">
        <v>712</v>
      </c>
      <c r="E245" s="38"/>
      <c r="F245" s="38" t="s">
        <v>713</v>
      </c>
      <c r="G245" s="39" t="s">
        <v>714</v>
      </c>
      <c r="H245" s="38"/>
      <c r="I245" s="29"/>
      <c r="J245" s="29"/>
      <c r="K245" s="29"/>
    </row>
    <row r="246" customFormat="false" ht="40.5" hidden="false" customHeight="true" outlineLevel="0" collapsed="false">
      <c r="A246" s="37" t="n">
        <v>228</v>
      </c>
      <c r="B246" s="38" t="s">
        <v>67</v>
      </c>
      <c r="C246" s="38" t="s">
        <v>703</v>
      </c>
      <c r="D246" s="38" t="s">
        <v>715</v>
      </c>
      <c r="E246" s="38"/>
      <c r="F246" s="38" t="s">
        <v>716</v>
      </c>
      <c r="G246" s="39" t="s">
        <v>717</v>
      </c>
      <c r="H246" s="38" t="s">
        <v>718</v>
      </c>
      <c r="I246" s="29"/>
      <c r="J246" s="29"/>
      <c r="K246" s="29"/>
    </row>
    <row r="247" customFormat="false" ht="67.5" hidden="false" customHeight="true" outlineLevel="0" collapsed="false">
      <c r="A247" s="37" t="n">
        <v>229</v>
      </c>
      <c r="B247" s="38" t="s">
        <v>67</v>
      </c>
      <c r="C247" s="38" t="s">
        <v>703</v>
      </c>
      <c r="D247" s="38" t="s">
        <v>719</v>
      </c>
      <c r="E247" s="38"/>
      <c r="F247" s="38" t="s">
        <v>720</v>
      </c>
      <c r="G247" s="39" t="s">
        <v>721</v>
      </c>
      <c r="H247" s="38" t="s">
        <v>722</v>
      </c>
      <c r="I247" s="29"/>
      <c r="J247" s="29"/>
      <c r="K247" s="29"/>
    </row>
    <row r="248" customFormat="false" ht="40.5" hidden="false" customHeight="true" outlineLevel="0" collapsed="false">
      <c r="A248" s="37" t="n">
        <v>230</v>
      </c>
      <c r="B248" s="38" t="s">
        <v>67</v>
      </c>
      <c r="C248" s="38" t="s">
        <v>703</v>
      </c>
      <c r="D248" s="38" t="s">
        <v>723</v>
      </c>
      <c r="E248" s="38" t="s">
        <v>724</v>
      </c>
      <c r="F248" s="38" t="s">
        <v>725</v>
      </c>
      <c r="G248" s="39" t="s">
        <v>726</v>
      </c>
      <c r="H248" s="38"/>
      <c r="I248" s="29"/>
      <c r="J248" s="29"/>
      <c r="K248" s="29"/>
    </row>
    <row r="249" customFormat="false" ht="40.5" hidden="false" customHeight="true" outlineLevel="0" collapsed="false">
      <c r="A249" s="37" t="n">
        <v>231</v>
      </c>
      <c r="B249" s="38" t="s">
        <v>67</v>
      </c>
      <c r="C249" s="38" t="s">
        <v>727</v>
      </c>
      <c r="D249" s="38" t="s">
        <v>728</v>
      </c>
      <c r="E249" s="38"/>
      <c r="F249" s="38" t="s">
        <v>729</v>
      </c>
      <c r="G249" s="40" t="s">
        <v>729</v>
      </c>
      <c r="H249" s="38" t="s">
        <v>730</v>
      </c>
      <c r="I249" s="29"/>
      <c r="J249" s="29"/>
      <c r="K249" s="29"/>
    </row>
    <row r="250" customFormat="false" ht="40.5" hidden="false" customHeight="true" outlineLevel="0" collapsed="false">
      <c r="A250" s="37" t="n">
        <v>232</v>
      </c>
      <c r="B250" s="38" t="s">
        <v>67</v>
      </c>
      <c r="C250" s="38" t="s">
        <v>727</v>
      </c>
      <c r="D250" s="38" t="s">
        <v>731</v>
      </c>
      <c r="E250" s="38"/>
      <c r="F250" s="38" t="s">
        <v>732</v>
      </c>
      <c r="G250" s="39" t="s">
        <v>733</v>
      </c>
      <c r="H250" s="38" t="s">
        <v>734</v>
      </c>
      <c r="I250" s="29"/>
      <c r="J250" s="29"/>
      <c r="K250" s="29"/>
    </row>
    <row r="251" customFormat="false" ht="40.5" hidden="false" customHeight="true" outlineLevel="0" collapsed="false">
      <c r="A251" s="37" t="n">
        <v>233</v>
      </c>
      <c r="B251" s="38" t="s">
        <v>67</v>
      </c>
      <c r="C251" s="38" t="s">
        <v>727</v>
      </c>
      <c r="D251" s="38" t="s">
        <v>735</v>
      </c>
      <c r="E251" s="38"/>
      <c r="F251" s="38" t="s">
        <v>736</v>
      </c>
      <c r="G251" s="39" t="s">
        <v>737</v>
      </c>
      <c r="H251" s="38" t="s">
        <v>734</v>
      </c>
      <c r="I251" s="29"/>
      <c r="J251" s="29"/>
      <c r="K251" s="29"/>
    </row>
    <row r="252" customFormat="false" ht="40.5" hidden="false" customHeight="true" outlineLevel="0" collapsed="false">
      <c r="A252" s="37" t="n">
        <v>234</v>
      </c>
      <c r="B252" s="38" t="s">
        <v>67</v>
      </c>
      <c r="C252" s="38" t="s">
        <v>727</v>
      </c>
      <c r="D252" s="38" t="s">
        <v>738</v>
      </c>
      <c r="E252" s="38"/>
      <c r="F252" s="38" t="s">
        <v>739</v>
      </c>
      <c r="G252" s="39" t="s">
        <v>740</v>
      </c>
      <c r="H252" s="38" t="s">
        <v>734</v>
      </c>
      <c r="I252" s="29"/>
      <c r="J252" s="29"/>
      <c r="K252" s="29"/>
    </row>
    <row r="253" customFormat="false" ht="40.5" hidden="false" customHeight="true" outlineLevel="0" collapsed="false">
      <c r="A253" s="37" t="n">
        <v>235</v>
      </c>
      <c r="B253" s="38" t="s">
        <v>67</v>
      </c>
      <c r="C253" s="38" t="s">
        <v>727</v>
      </c>
      <c r="D253" s="38" t="s">
        <v>741</v>
      </c>
      <c r="E253" s="38"/>
      <c r="F253" s="38" t="s">
        <v>742</v>
      </c>
      <c r="G253" s="39" t="s">
        <v>743</v>
      </c>
      <c r="H253" s="38" t="s">
        <v>734</v>
      </c>
      <c r="I253" s="29"/>
      <c r="J253" s="29"/>
      <c r="K253" s="29"/>
    </row>
    <row r="254" customFormat="false" ht="40.5" hidden="false" customHeight="true" outlineLevel="0" collapsed="false">
      <c r="A254" s="37" t="n">
        <v>236</v>
      </c>
      <c r="B254" s="38" t="s">
        <v>67</v>
      </c>
      <c r="C254" s="38" t="s">
        <v>727</v>
      </c>
      <c r="D254" s="38" t="s">
        <v>744</v>
      </c>
      <c r="E254" s="38"/>
      <c r="F254" s="38" t="s">
        <v>745</v>
      </c>
      <c r="G254" s="39" t="s">
        <v>746</v>
      </c>
      <c r="H254" s="38" t="s">
        <v>734</v>
      </c>
      <c r="I254" s="29"/>
      <c r="J254" s="29"/>
      <c r="K254" s="29"/>
    </row>
    <row r="255" customFormat="false" ht="40.5" hidden="false" customHeight="true" outlineLevel="0" collapsed="false">
      <c r="A255" s="37" t="n">
        <v>237</v>
      </c>
      <c r="B255" s="38" t="s">
        <v>67</v>
      </c>
      <c r="C255" s="38" t="s">
        <v>727</v>
      </c>
      <c r="D255" s="38" t="s">
        <v>747</v>
      </c>
      <c r="E255" s="38"/>
      <c r="F255" s="38" t="s">
        <v>748</v>
      </c>
      <c r="G255" s="39" t="s">
        <v>369</v>
      </c>
      <c r="H255" s="38" t="s">
        <v>734</v>
      </c>
      <c r="I255" s="29"/>
      <c r="J255" s="29"/>
      <c r="K255" s="29"/>
    </row>
    <row r="256" customFormat="false" ht="40.5" hidden="false" customHeight="true" outlineLevel="0" collapsed="false">
      <c r="A256" s="37" t="n">
        <v>238</v>
      </c>
      <c r="B256" s="38" t="s">
        <v>67</v>
      </c>
      <c r="C256" s="38" t="s">
        <v>727</v>
      </c>
      <c r="D256" s="38" t="s">
        <v>749</v>
      </c>
      <c r="E256" s="38"/>
      <c r="F256" s="38" t="s">
        <v>750</v>
      </c>
      <c r="G256" s="39" t="s">
        <v>751</v>
      </c>
      <c r="H256" s="38" t="s">
        <v>734</v>
      </c>
      <c r="I256" s="29"/>
      <c r="J256" s="29"/>
      <c r="K256" s="29"/>
    </row>
    <row r="257" customFormat="false" ht="40.5" hidden="false" customHeight="true" outlineLevel="0" collapsed="false">
      <c r="A257" s="37" t="n">
        <v>239</v>
      </c>
      <c r="B257" s="38" t="s">
        <v>67</v>
      </c>
      <c r="C257" s="38" t="s">
        <v>752</v>
      </c>
      <c r="D257" s="38" t="s">
        <v>753</v>
      </c>
      <c r="E257" s="38" t="s">
        <v>754</v>
      </c>
      <c r="F257" s="38" t="s">
        <v>313</v>
      </c>
      <c r="G257" s="39" t="s">
        <v>314</v>
      </c>
      <c r="H257" s="38"/>
      <c r="I257" s="29"/>
      <c r="J257" s="29"/>
      <c r="K257" s="29"/>
    </row>
    <row r="258" customFormat="false" ht="40.5" hidden="false" customHeight="true" outlineLevel="0" collapsed="false">
      <c r="A258" s="37" t="n">
        <v>240</v>
      </c>
      <c r="B258" s="38" t="s">
        <v>67</v>
      </c>
      <c r="C258" s="38" t="s">
        <v>752</v>
      </c>
      <c r="D258" s="38" t="s">
        <v>753</v>
      </c>
      <c r="E258" s="38" t="s">
        <v>755</v>
      </c>
      <c r="F258" s="38" t="s">
        <v>756</v>
      </c>
      <c r="G258" s="39" t="s">
        <v>757</v>
      </c>
      <c r="H258" s="38"/>
      <c r="I258" s="29"/>
      <c r="J258" s="29"/>
      <c r="K258" s="29"/>
    </row>
    <row r="259" customFormat="false" ht="54" hidden="false" customHeight="true" outlineLevel="0" collapsed="false">
      <c r="A259" s="30" t="s">
        <v>758</v>
      </c>
      <c r="B259" s="31" t="s">
        <v>67</v>
      </c>
      <c r="C259" s="31" t="s">
        <v>752</v>
      </c>
      <c r="D259" s="31" t="s">
        <v>759</v>
      </c>
      <c r="E259" s="31" t="s">
        <v>760</v>
      </c>
      <c r="F259" s="31" t="s">
        <v>761</v>
      </c>
      <c r="G259" s="31" t="s">
        <v>762</v>
      </c>
      <c r="H259" s="31" t="s">
        <v>763</v>
      </c>
      <c r="I259" s="31"/>
      <c r="J259" s="31"/>
      <c r="K259" s="29"/>
    </row>
    <row r="260" customFormat="false" ht="40.5" hidden="false" customHeight="true" outlineLevel="0" collapsed="false">
      <c r="A260" s="37" t="n">
        <v>241</v>
      </c>
      <c r="B260" s="38" t="s">
        <v>67</v>
      </c>
      <c r="C260" s="38" t="s">
        <v>752</v>
      </c>
      <c r="D260" s="38" t="s">
        <v>764</v>
      </c>
      <c r="E260" s="38" t="s">
        <v>760</v>
      </c>
      <c r="F260" s="38" t="s">
        <v>765</v>
      </c>
      <c r="G260" s="38" t="s">
        <v>766</v>
      </c>
      <c r="H260" s="38" t="s">
        <v>767</v>
      </c>
      <c r="I260" s="29"/>
      <c r="J260" s="29"/>
      <c r="K260" s="29"/>
    </row>
    <row r="261" customFormat="false" ht="40.5" hidden="false" customHeight="true" outlineLevel="0" collapsed="false">
      <c r="A261" s="37" t="n">
        <v>242</v>
      </c>
      <c r="B261" s="38" t="s">
        <v>67</v>
      </c>
      <c r="C261" s="38" t="s">
        <v>752</v>
      </c>
      <c r="D261" s="38" t="s">
        <v>768</v>
      </c>
      <c r="E261" s="38" t="s">
        <v>769</v>
      </c>
      <c r="F261" s="38" t="s">
        <v>770</v>
      </c>
      <c r="G261" s="39" t="s">
        <v>771</v>
      </c>
      <c r="H261" s="38" t="s">
        <v>251</v>
      </c>
      <c r="I261" s="29"/>
      <c r="J261" s="29"/>
      <c r="K261" s="29"/>
    </row>
    <row r="262" customFormat="false" ht="40.5" hidden="false" customHeight="true" outlineLevel="0" collapsed="false">
      <c r="A262" s="37" t="n">
        <v>243</v>
      </c>
      <c r="B262" s="38" t="s">
        <v>67</v>
      </c>
      <c r="C262" s="38" t="s">
        <v>752</v>
      </c>
      <c r="D262" s="38" t="s">
        <v>772</v>
      </c>
      <c r="E262" s="38" t="s">
        <v>760</v>
      </c>
      <c r="F262" s="38" t="s">
        <v>773</v>
      </c>
      <c r="G262" s="39" t="s">
        <v>774</v>
      </c>
      <c r="H262" s="38" t="s">
        <v>775</v>
      </c>
      <c r="I262" s="29"/>
      <c r="J262" s="29"/>
      <c r="K262" s="29"/>
    </row>
    <row r="263" customFormat="false" ht="40.5" hidden="false" customHeight="true" outlineLevel="0" collapsed="false">
      <c r="A263" s="37" t="n">
        <v>244</v>
      </c>
      <c r="B263" s="38" t="s">
        <v>67</v>
      </c>
      <c r="C263" s="38" t="s">
        <v>752</v>
      </c>
      <c r="D263" s="38" t="s">
        <v>776</v>
      </c>
      <c r="E263" s="38" t="s">
        <v>760</v>
      </c>
      <c r="F263" s="38" t="s">
        <v>777</v>
      </c>
      <c r="G263" s="39" t="s">
        <v>778</v>
      </c>
      <c r="H263" s="38" t="s">
        <v>779</v>
      </c>
      <c r="I263" s="29"/>
      <c r="J263" s="29"/>
      <c r="K263" s="29"/>
    </row>
    <row r="264" customFormat="false" ht="94.5" hidden="false" customHeight="true" outlineLevel="0" collapsed="false">
      <c r="A264" s="37" t="n">
        <v>245</v>
      </c>
      <c r="B264" s="38" t="s">
        <v>67</v>
      </c>
      <c r="C264" s="38" t="s">
        <v>752</v>
      </c>
      <c r="D264" s="38" t="s">
        <v>780</v>
      </c>
      <c r="E264" s="38" t="s">
        <v>781</v>
      </c>
      <c r="F264" s="38" t="s">
        <v>782</v>
      </c>
      <c r="G264" s="38" t="s">
        <v>783</v>
      </c>
      <c r="H264" s="38" t="s">
        <v>784</v>
      </c>
      <c r="I264" s="29"/>
      <c r="J264" s="29"/>
      <c r="K264" s="29"/>
    </row>
    <row r="265" customFormat="false" ht="40.5" hidden="false" customHeight="true" outlineLevel="0" collapsed="false">
      <c r="A265" s="37" t="n">
        <v>246</v>
      </c>
      <c r="B265" s="38" t="s">
        <v>67</v>
      </c>
      <c r="C265" s="38" t="s">
        <v>752</v>
      </c>
      <c r="D265" s="38" t="s">
        <v>780</v>
      </c>
      <c r="E265" s="38" t="s">
        <v>785</v>
      </c>
      <c r="F265" s="38" t="s">
        <v>786</v>
      </c>
      <c r="G265" s="39" t="s">
        <v>787</v>
      </c>
      <c r="H265" s="38"/>
      <c r="I265" s="29"/>
      <c r="J265" s="29"/>
      <c r="K265" s="29"/>
    </row>
    <row r="266" customFormat="false" ht="94.5" hidden="false" customHeight="true" outlineLevel="0" collapsed="false">
      <c r="A266" s="37" t="n">
        <v>247</v>
      </c>
      <c r="B266" s="38" t="s">
        <v>67</v>
      </c>
      <c r="C266" s="38" t="s">
        <v>752</v>
      </c>
      <c r="D266" s="38" t="s">
        <v>780</v>
      </c>
      <c r="E266" s="38" t="s">
        <v>788</v>
      </c>
      <c r="F266" s="38" t="s">
        <v>789</v>
      </c>
      <c r="G266" s="38" t="s">
        <v>790</v>
      </c>
      <c r="H266" s="38" t="s">
        <v>784</v>
      </c>
      <c r="I266" s="29"/>
      <c r="J266" s="29"/>
      <c r="K266" s="29"/>
    </row>
    <row r="267" customFormat="false" ht="40.5" hidden="false" customHeight="true" outlineLevel="0" collapsed="false">
      <c r="A267" s="37" t="n">
        <v>248</v>
      </c>
      <c r="B267" s="38" t="s">
        <v>67</v>
      </c>
      <c r="C267" s="38" t="s">
        <v>752</v>
      </c>
      <c r="D267" s="38" t="s">
        <v>780</v>
      </c>
      <c r="E267" s="38" t="s">
        <v>791</v>
      </c>
      <c r="F267" s="38" t="s">
        <v>792</v>
      </c>
      <c r="G267" s="39" t="s">
        <v>793</v>
      </c>
      <c r="H267" s="38"/>
      <c r="I267" s="29"/>
      <c r="J267" s="29"/>
      <c r="K267" s="29"/>
    </row>
    <row r="268" customFormat="false" ht="94.5" hidden="false" customHeight="true" outlineLevel="0" collapsed="false">
      <c r="A268" s="37" t="n">
        <v>249</v>
      </c>
      <c r="B268" s="38" t="s">
        <v>67</v>
      </c>
      <c r="C268" s="38" t="s">
        <v>752</v>
      </c>
      <c r="D268" s="38" t="s">
        <v>780</v>
      </c>
      <c r="E268" s="38" t="s">
        <v>794</v>
      </c>
      <c r="F268" s="38" t="s">
        <v>795</v>
      </c>
      <c r="G268" s="38" t="s">
        <v>796</v>
      </c>
      <c r="H268" s="38" t="s">
        <v>784</v>
      </c>
      <c r="I268" s="29"/>
      <c r="J268" s="29"/>
      <c r="K268" s="29"/>
    </row>
    <row r="269" customFormat="false" ht="40.5" hidden="false" customHeight="true" outlineLevel="0" collapsed="false">
      <c r="A269" s="37" t="n">
        <v>250</v>
      </c>
      <c r="B269" s="38" t="s">
        <v>67</v>
      </c>
      <c r="C269" s="38" t="s">
        <v>752</v>
      </c>
      <c r="D269" s="38" t="s">
        <v>780</v>
      </c>
      <c r="E269" s="38" t="s">
        <v>797</v>
      </c>
      <c r="F269" s="38" t="s">
        <v>798</v>
      </c>
      <c r="G269" s="39" t="s">
        <v>799</v>
      </c>
      <c r="H269" s="38"/>
      <c r="I269" s="29"/>
      <c r="J269" s="29"/>
      <c r="K269" s="29"/>
    </row>
    <row r="270" customFormat="false" ht="40.5" hidden="false" customHeight="true" outlineLevel="0" collapsed="false">
      <c r="A270" s="37" t="n">
        <v>251</v>
      </c>
      <c r="B270" s="38" t="s">
        <v>67</v>
      </c>
      <c r="C270" s="38" t="s">
        <v>752</v>
      </c>
      <c r="D270" s="38" t="s">
        <v>800</v>
      </c>
      <c r="E270" s="38"/>
      <c r="F270" s="38" t="s">
        <v>801</v>
      </c>
      <c r="G270" s="39" t="s">
        <v>802</v>
      </c>
      <c r="H270" s="38"/>
      <c r="I270" s="29"/>
      <c r="J270" s="29"/>
      <c r="K270" s="29"/>
    </row>
    <row r="271" customFormat="false" ht="40.5" hidden="false" customHeight="true" outlineLevel="0" collapsed="false">
      <c r="A271" s="37" t="n">
        <v>252</v>
      </c>
      <c r="B271" s="38" t="s">
        <v>67</v>
      </c>
      <c r="C271" s="38" t="s">
        <v>752</v>
      </c>
      <c r="D271" s="38" t="s">
        <v>803</v>
      </c>
      <c r="E271" s="38"/>
      <c r="F271" s="38" t="s">
        <v>804</v>
      </c>
      <c r="G271" s="38" t="s">
        <v>805</v>
      </c>
      <c r="H271" s="38" t="s">
        <v>806</v>
      </c>
      <c r="I271" s="29"/>
      <c r="J271" s="29"/>
      <c r="K271" s="29"/>
    </row>
    <row r="272" customFormat="false" ht="40.5" hidden="false" customHeight="true" outlineLevel="0" collapsed="false">
      <c r="A272" s="37" t="n">
        <v>253</v>
      </c>
      <c r="B272" s="38" t="s">
        <v>67</v>
      </c>
      <c r="C272" s="38" t="s">
        <v>752</v>
      </c>
      <c r="D272" s="38" t="s">
        <v>807</v>
      </c>
      <c r="E272" s="38" t="s">
        <v>808</v>
      </c>
      <c r="F272" s="38" t="s">
        <v>809</v>
      </c>
      <c r="G272" s="39" t="s">
        <v>810</v>
      </c>
      <c r="H272" s="38"/>
      <c r="I272" s="29"/>
      <c r="J272" s="29"/>
      <c r="K272" s="29"/>
    </row>
    <row r="273" customFormat="false" ht="40.5" hidden="false" customHeight="true" outlineLevel="0" collapsed="false">
      <c r="A273" s="37" t="n">
        <v>254</v>
      </c>
      <c r="B273" s="38" t="s">
        <v>67</v>
      </c>
      <c r="C273" s="38" t="s">
        <v>752</v>
      </c>
      <c r="D273" s="38" t="s">
        <v>811</v>
      </c>
      <c r="E273" s="38"/>
      <c r="F273" s="38" t="s">
        <v>812</v>
      </c>
      <c r="G273" s="39" t="s">
        <v>813</v>
      </c>
      <c r="H273" s="38" t="s">
        <v>814</v>
      </c>
      <c r="I273" s="29"/>
      <c r="J273" s="29"/>
      <c r="K273" s="29"/>
    </row>
    <row r="274" customFormat="false" ht="40.5" hidden="false" customHeight="true" outlineLevel="0" collapsed="false">
      <c r="A274" s="37" t="n">
        <v>255</v>
      </c>
      <c r="B274" s="38" t="s">
        <v>67</v>
      </c>
      <c r="C274" s="38" t="s">
        <v>752</v>
      </c>
      <c r="D274" s="38" t="s">
        <v>815</v>
      </c>
      <c r="E274" s="38"/>
      <c r="F274" s="38" t="s">
        <v>816</v>
      </c>
      <c r="G274" s="39" t="s">
        <v>817</v>
      </c>
      <c r="H274" s="38" t="s">
        <v>814</v>
      </c>
      <c r="I274" s="29"/>
      <c r="J274" s="29"/>
      <c r="K274" s="29"/>
    </row>
    <row r="275" customFormat="false" ht="40.5" hidden="false" customHeight="true" outlineLevel="0" collapsed="false">
      <c r="A275" s="37" t="n">
        <v>256</v>
      </c>
      <c r="B275" s="38" t="s">
        <v>67</v>
      </c>
      <c r="C275" s="38" t="s">
        <v>752</v>
      </c>
      <c r="D275" s="38" t="s">
        <v>818</v>
      </c>
      <c r="E275" s="38"/>
      <c r="F275" s="38" t="s">
        <v>819</v>
      </c>
      <c r="G275" s="39" t="s">
        <v>820</v>
      </c>
      <c r="H275" s="38" t="s">
        <v>814</v>
      </c>
      <c r="I275" s="29"/>
      <c r="J275" s="29"/>
      <c r="K275" s="29"/>
    </row>
    <row r="276" customFormat="false" ht="54" hidden="false" customHeight="true" outlineLevel="0" collapsed="false">
      <c r="A276" s="37" t="n">
        <v>257</v>
      </c>
      <c r="B276" s="38" t="s">
        <v>67</v>
      </c>
      <c r="C276" s="38" t="s">
        <v>752</v>
      </c>
      <c r="D276" s="38" t="s">
        <v>821</v>
      </c>
      <c r="E276" s="38"/>
      <c r="F276" s="38" t="s">
        <v>822</v>
      </c>
      <c r="G276" s="40" t="s">
        <v>822</v>
      </c>
      <c r="H276" s="38" t="s">
        <v>823</v>
      </c>
      <c r="I276" s="29"/>
      <c r="J276" s="29"/>
      <c r="K276" s="29"/>
    </row>
    <row r="277" customFormat="false" ht="40.5" hidden="false" customHeight="true" outlineLevel="0" collapsed="false">
      <c r="A277" s="37" t="n">
        <v>258</v>
      </c>
      <c r="B277" s="38" t="s">
        <v>67</v>
      </c>
      <c r="C277" s="38" t="s">
        <v>752</v>
      </c>
      <c r="D277" s="38" t="s">
        <v>824</v>
      </c>
      <c r="E277" s="38"/>
      <c r="F277" s="38" t="s">
        <v>825</v>
      </c>
      <c r="G277" s="39" t="s">
        <v>826</v>
      </c>
      <c r="H277" s="38" t="s">
        <v>827</v>
      </c>
      <c r="I277" s="29"/>
      <c r="J277" s="29"/>
      <c r="K277" s="29"/>
    </row>
    <row r="278" customFormat="false" ht="94.5" hidden="false" customHeight="true" outlineLevel="0" collapsed="false">
      <c r="A278" s="37" t="n">
        <v>259</v>
      </c>
      <c r="B278" s="38" t="s">
        <v>67</v>
      </c>
      <c r="C278" s="38" t="s">
        <v>752</v>
      </c>
      <c r="D278" s="38" t="s">
        <v>828</v>
      </c>
      <c r="E278" s="38" t="s">
        <v>760</v>
      </c>
      <c r="F278" s="38" t="s">
        <v>829</v>
      </c>
      <c r="G278" s="39" t="s">
        <v>830</v>
      </c>
      <c r="H278" s="38" t="s">
        <v>784</v>
      </c>
      <c r="I278" s="29"/>
      <c r="J278" s="29"/>
      <c r="K278" s="29"/>
    </row>
    <row r="279" customFormat="false" ht="94.5" hidden="false" customHeight="true" outlineLevel="0" collapsed="false">
      <c r="A279" s="37" t="n">
        <v>260</v>
      </c>
      <c r="B279" s="38" t="s">
        <v>67</v>
      </c>
      <c r="C279" s="38" t="s">
        <v>752</v>
      </c>
      <c r="D279" s="38" t="s">
        <v>828</v>
      </c>
      <c r="E279" s="38" t="s">
        <v>831</v>
      </c>
      <c r="F279" s="38" t="s">
        <v>832</v>
      </c>
      <c r="G279" s="39" t="s">
        <v>833</v>
      </c>
      <c r="H279" s="38" t="s">
        <v>784</v>
      </c>
      <c r="I279" s="29"/>
      <c r="J279" s="29"/>
      <c r="K279" s="29"/>
    </row>
    <row r="280" customFormat="false" ht="94.5" hidden="false" customHeight="true" outlineLevel="0" collapsed="false">
      <c r="A280" s="37" t="n">
        <v>261</v>
      </c>
      <c r="B280" s="38" t="s">
        <v>67</v>
      </c>
      <c r="C280" s="38" t="s">
        <v>752</v>
      </c>
      <c r="D280" s="38" t="s">
        <v>828</v>
      </c>
      <c r="E280" s="38" t="s">
        <v>834</v>
      </c>
      <c r="F280" s="38" t="s">
        <v>835</v>
      </c>
      <c r="G280" s="39" t="s">
        <v>836</v>
      </c>
      <c r="H280" s="38" t="s">
        <v>784</v>
      </c>
      <c r="I280" s="29"/>
      <c r="J280" s="29"/>
      <c r="K280" s="29"/>
    </row>
    <row r="281" customFormat="false" ht="94.5" hidden="false" customHeight="true" outlineLevel="0" collapsed="false">
      <c r="A281" s="37" t="n">
        <v>262</v>
      </c>
      <c r="B281" s="38" t="s">
        <v>67</v>
      </c>
      <c r="C281" s="38" t="s">
        <v>752</v>
      </c>
      <c r="D281" s="38" t="s">
        <v>828</v>
      </c>
      <c r="E281" s="38" t="s">
        <v>837</v>
      </c>
      <c r="F281" s="38" t="s">
        <v>838</v>
      </c>
      <c r="G281" s="39" t="s">
        <v>839</v>
      </c>
      <c r="H281" s="38" t="s">
        <v>784</v>
      </c>
      <c r="I281" s="29"/>
      <c r="J281" s="29"/>
      <c r="K281" s="29"/>
    </row>
    <row r="282" customFormat="false" ht="94.5" hidden="false" customHeight="true" outlineLevel="0" collapsed="false">
      <c r="A282" s="37" t="n">
        <v>263</v>
      </c>
      <c r="B282" s="38" t="s">
        <v>67</v>
      </c>
      <c r="C282" s="38" t="s">
        <v>752</v>
      </c>
      <c r="D282" s="38" t="s">
        <v>828</v>
      </c>
      <c r="E282" s="38" t="s">
        <v>840</v>
      </c>
      <c r="F282" s="38" t="s">
        <v>841</v>
      </c>
      <c r="G282" s="39" t="s">
        <v>842</v>
      </c>
      <c r="H282" s="38" t="s">
        <v>784</v>
      </c>
      <c r="I282" s="29"/>
      <c r="J282" s="29"/>
      <c r="K282" s="29"/>
    </row>
    <row r="283" customFormat="false" ht="94.5" hidden="false" customHeight="true" outlineLevel="0" collapsed="false">
      <c r="A283" s="37" t="n">
        <v>264</v>
      </c>
      <c r="B283" s="38" t="s">
        <v>67</v>
      </c>
      <c r="C283" s="38" t="s">
        <v>752</v>
      </c>
      <c r="D283" s="38" t="s">
        <v>828</v>
      </c>
      <c r="E283" s="38" t="s">
        <v>843</v>
      </c>
      <c r="F283" s="38" t="s">
        <v>844</v>
      </c>
      <c r="G283" s="39" t="s">
        <v>845</v>
      </c>
      <c r="H283" s="38" t="s">
        <v>784</v>
      </c>
      <c r="I283" s="29"/>
      <c r="J283" s="29"/>
      <c r="K283" s="29"/>
    </row>
    <row r="284" customFormat="false" ht="94.5" hidden="false" customHeight="true" outlineLevel="0" collapsed="false">
      <c r="A284" s="37" t="n">
        <v>265</v>
      </c>
      <c r="B284" s="38" t="s">
        <v>67</v>
      </c>
      <c r="C284" s="38" t="s">
        <v>752</v>
      </c>
      <c r="D284" s="38" t="s">
        <v>828</v>
      </c>
      <c r="E284" s="38" t="s">
        <v>846</v>
      </c>
      <c r="F284" s="38" t="s">
        <v>847</v>
      </c>
      <c r="G284" s="39" t="s">
        <v>848</v>
      </c>
      <c r="H284" s="38" t="s">
        <v>784</v>
      </c>
      <c r="I284" s="29"/>
      <c r="J284" s="29"/>
      <c r="K284" s="29"/>
    </row>
    <row r="285" customFormat="false" ht="94.5" hidden="false" customHeight="true" outlineLevel="0" collapsed="false">
      <c r="A285" s="37" t="n">
        <v>266</v>
      </c>
      <c r="B285" s="38" t="s">
        <v>67</v>
      </c>
      <c r="C285" s="38" t="s">
        <v>752</v>
      </c>
      <c r="D285" s="38" t="s">
        <v>828</v>
      </c>
      <c r="E285" s="38" t="s">
        <v>849</v>
      </c>
      <c r="F285" s="38" t="s">
        <v>850</v>
      </c>
      <c r="G285" s="39" t="s">
        <v>851</v>
      </c>
      <c r="H285" s="38" t="s">
        <v>784</v>
      </c>
      <c r="I285" s="29"/>
      <c r="J285" s="29"/>
      <c r="K285" s="29"/>
    </row>
    <row r="286" customFormat="false" ht="40.5" hidden="false" customHeight="true" outlineLevel="0" collapsed="false">
      <c r="A286" s="37" t="n">
        <v>267</v>
      </c>
      <c r="B286" s="38" t="s">
        <v>67</v>
      </c>
      <c r="C286" s="38" t="s">
        <v>752</v>
      </c>
      <c r="D286" s="38" t="s">
        <v>828</v>
      </c>
      <c r="E286" s="38" t="s">
        <v>852</v>
      </c>
      <c r="F286" s="38" t="s">
        <v>853</v>
      </c>
      <c r="G286" s="39" t="s">
        <v>854</v>
      </c>
      <c r="H286" s="38"/>
      <c r="I286" s="29"/>
      <c r="J286" s="29"/>
      <c r="K286" s="29"/>
    </row>
    <row r="287" customFormat="false" ht="40.5" hidden="false" customHeight="true" outlineLevel="0" collapsed="false">
      <c r="A287" s="37" t="n">
        <v>268</v>
      </c>
      <c r="B287" s="38" t="s">
        <v>67</v>
      </c>
      <c r="C287" s="38" t="s">
        <v>752</v>
      </c>
      <c r="D287" s="38" t="s">
        <v>855</v>
      </c>
      <c r="E287" s="38" t="s">
        <v>754</v>
      </c>
      <c r="F287" s="38" t="s">
        <v>856</v>
      </c>
      <c r="G287" s="39" t="s">
        <v>857</v>
      </c>
      <c r="H287" s="38"/>
      <c r="I287" s="29"/>
      <c r="J287" s="29"/>
      <c r="K287" s="29"/>
    </row>
    <row r="288" customFormat="false" ht="40.5" hidden="false" customHeight="true" outlineLevel="0" collapsed="false">
      <c r="A288" s="37" t="n">
        <v>269</v>
      </c>
      <c r="B288" s="38" t="s">
        <v>67</v>
      </c>
      <c r="C288" s="38" t="s">
        <v>752</v>
      </c>
      <c r="D288" s="38" t="s">
        <v>855</v>
      </c>
      <c r="E288" s="38" t="s">
        <v>755</v>
      </c>
      <c r="F288" s="38" t="s">
        <v>858</v>
      </c>
      <c r="G288" s="39" t="s">
        <v>859</v>
      </c>
      <c r="H288" s="38"/>
      <c r="I288" s="29"/>
      <c r="J288" s="29"/>
      <c r="K288" s="29"/>
    </row>
    <row r="289" customFormat="false" ht="40.5" hidden="false" customHeight="true" outlineLevel="0" collapsed="false">
      <c r="A289" s="37" t="n">
        <v>270</v>
      </c>
      <c r="B289" s="38" t="s">
        <v>67</v>
      </c>
      <c r="C289" s="38" t="s">
        <v>860</v>
      </c>
      <c r="D289" s="38" t="s">
        <v>753</v>
      </c>
      <c r="E289" s="38"/>
      <c r="F289" s="38" t="s">
        <v>861</v>
      </c>
      <c r="G289" s="39" t="s">
        <v>862</v>
      </c>
      <c r="H289" s="38"/>
      <c r="I289" s="29"/>
      <c r="J289" s="29"/>
      <c r="K289" s="29"/>
    </row>
    <row r="290" customFormat="false" ht="40.5" hidden="false" customHeight="true" outlineLevel="0" collapsed="false">
      <c r="A290" s="30" t="s">
        <v>863</v>
      </c>
      <c r="B290" s="31" t="s">
        <v>67</v>
      </c>
      <c r="C290" s="31" t="s">
        <v>860</v>
      </c>
      <c r="D290" s="31" t="s">
        <v>266</v>
      </c>
      <c r="E290" s="31"/>
      <c r="F290" s="31" t="s">
        <v>864</v>
      </c>
      <c r="G290" s="32" t="s">
        <v>865</v>
      </c>
      <c r="H290" s="31" t="s">
        <v>866</v>
      </c>
      <c r="I290" s="31"/>
      <c r="J290" s="31"/>
      <c r="K290" s="29"/>
    </row>
    <row r="291" customFormat="false" ht="40.5" hidden="false" customHeight="true" outlineLevel="0" collapsed="false">
      <c r="A291" s="37" t="n">
        <v>271</v>
      </c>
      <c r="B291" s="38" t="s">
        <v>67</v>
      </c>
      <c r="C291" s="38" t="s">
        <v>860</v>
      </c>
      <c r="D291" s="38" t="s">
        <v>867</v>
      </c>
      <c r="E291" s="38"/>
      <c r="F291" s="38" t="s">
        <v>868</v>
      </c>
      <c r="G291" s="39" t="s">
        <v>869</v>
      </c>
      <c r="H291" s="38" t="s">
        <v>251</v>
      </c>
      <c r="I291" s="29"/>
      <c r="J291" s="29"/>
      <c r="K291" s="29"/>
    </row>
    <row r="292" customFormat="false" ht="40.5" hidden="false" customHeight="true" outlineLevel="0" collapsed="false">
      <c r="A292" s="37" t="n">
        <v>272</v>
      </c>
      <c r="B292" s="38" t="s">
        <v>67</v>
      </c>
      <c r="C292" s="38" t="s">
        <v>860</v>
      </c>
      <c r="D292" s="38" t="s">
        <v>870</v>
      </c>
      <c r="E292" s="38"/>
      <c r="F292" s="38" t="s">
        <v>871</v>
      </c>
      <c r="G292" s="39" t="s">
        <v>325</v>
      </c>
      <c r="H292" s="38" t="s">
        <v>251</v>
      </c>
      <c r="I292" s="29"/>
      <c r="J292" s="29"/>
      <c r="K292" s="29"/>
    </row>
    <row r="293" customFormat="false" ht="40.5" hidden="false" customHeight="true" outlineLevel="0" collapsed="false">
      <c r="A293" s="37" t="n">
        <v>273</v>
      </c>
      <c r="B293" s="38" t="s">
        <v>67</v>
      </c>
      <c r="C293" s="38" t="s">
        <v>860</v>
      </c>
      <c r="D293" s="38" t="s">
        <v>872</v>
      </c>
      <c r="E293" s="38"/>
      <c r="F293" s="38" t="s">
        <v>873</v>
      </c>
      <c r="G293" s="39" t="s">
        <v>874</v>
      </c>
      <c r="H293" s="38" t="s">
        <v>251</v>
      </c>
      <c r="I293" s="29"/>
      <c r="J293" s="29"/>
      <c r="K293" s="29"/>
    </row>
    <row r="294" customFormat="false" ht="40.5" hidden="false" customHeight="true" outlineLevel="0" collapsed="false">
      <c r="A294" s="37" t="n">
        <v>274</v>
      </c>
      <c r="B294" s="38" t="s">
        <v>67</v>
      </c>
      <c r="C294" s="38" t="s">
        <v>860</v>
      </c>
      <c r="D294" s="38" t="s">
        <v>875</v>
      </c>
      <c r="E294" s="38"/>
      <c r="F294" s="38" t="s">
        <v>876</v>
      </c>
      <c r="G294" s="39" t="s">
        <v>877</v>
      </c>
      <c r="H294" s="38" t="s">
        <v>251</v>
      </c>
      <c r="I294" s="29"/>
      <c r="J294" s="29"/>
      <c r="K294" s="29"/>
    </row>
    <row r="295" customFormat="false" ht="40.5" hidden="false" customHeight="true" outlineLevel="0" collapsed="false">
      <c r="A295" s="37" t="n">
        <v>275</v>
      </c>
      <c r="B295" s="38" t="s">
        <v>67</v>
      </c>
      <c r="C295" s="38" t="s">
        <v>860</v>
      </c>
      <c r="D295" s="38" t="s">
        <v>878</v>
      </c>
      <c r="E295" s="38"/>
      <c r="F295" s="38" t="s">
        <v>879</v>
      </c>
      <c r="G295" s="39" t="s">
        <v>880</v>
      </c>
      <c r="H295" s="38" t="s">
        <v>251</v>
      </c>
      <c r="I295" s="29"/>
      <c r="J295" s="29"/>
      <c r="K295" s="29"/>
    </row>
    <row r="296" customFormat="false" ht="40.5" hidden="false" customHeight="true" outlineLevel="0" collapsed="false">
      <c r="A296" s="37" t="n">
        <v>276</v>
      </c>
      <c r="B296" s="38" t="s">
        <v>67</v>
      </c>
      <c r="C296" s="38" t="s">
        <v>860</v>
      </c>
      <c r="D296" s="38" t="s">
        <v>881</v>
      </c>
      <c r="E296" s="38"/>
      <c r="F296" s="38" t="s">
        <v>882</v>
      </c>
      <c r="G296" s="39" t="s">
        <v>883</v>
      </c>
      <c r="H296" s="38" t="s">
        <v>251</v>
      </c>
      <c r="I296" s="29"/>
      <c r="J296" s="29"/>
      <c r="K296" s="29"/>
    </row>
    <row r="297" customFormat="false" ht="40.5" hidden="false" customHeight="true" outlineLevel="0" collapsed="false">
      <c r="A297" s="37" t="n">
        <v>277</v>
      </c>
      <c r="B297" s="38" t="s">
        <v>67</v>
      </c>
      <c r="C297" s="38" t="s">
        <v>860</v>
      </c>
      <c r="D297" s="38" t="s">
        <v>884</v>
      </c>
      <c r="E297" s="38"/>
      <c r="F297" s="38" t="s">
        <v>227</v>
      </c>
      <c r="G297" s="39" t="s">
        <v>228</v>
      </c>
      <c r="H297" s="38" t="s">
        <v>251</v>
      </c>
      <c r="I297" s="29"/>
      <c r="J297" s="29"/>
      <c r="K297" s="29"/>
    </row>
    <row r="298" customFormat="false" ht="40.5" hidden="false" customHeight="true" outlineLevel="0" collapsed="false">
      <c r="A298" s="37" t="n">
        <v>278</v>
      </c>
      <c r="B298" s="38" t="s">
        <v>67</v>
      </c>
      <c r="C298" s="38" t="s">
        <v>860</v>
      </c>
      <c r="D298" s="38" t="s">
        <v>885</v>
      </c>
      <c r="E298" s="38" t="s">
        <v>760</v>
      </c>
      <c r="F298" s="38" t="s">
        <v>886</v>
      </c>
      <c r="G298" s="39" t="s">
        <v>887</v>
      </c>
      <c r="H298" s="38"/>
      <c r="I298" s="29"/>
      <c r="J298" s="29"/>
      <c r="K298" s="29"/>
    </row>
    <row r="299" customFormat="false" ht="40.5" hidden="false" customHeight="true" outlineLevel="0" collapsed="false">
      <c r="A299" s="37" t="n">
        <v>279</v>
      </c>
      <c r="B299" s="38" t="s">
        <v>67</v>
      </c>
      <c r="C299" s="38" t="s">
        <v>860</v>
      </c>
      <c r="D299" s="38" t="s">
        <v>885</v>
      </c>
      <c r="E299" s="38" t="s">
        <v>888</v>
      </c>
      <c r="F299" s="38" t="s">
        <v>889</v>
      </c>
      <c r="G299" s="39" t="s">
        <v>890</v>
      </c>
      <c r="H299" s="38"/>
      <c r="I299" s="29"/>
      <c r="J299" s="29"/>
      <c r="K299" s="29"/>
    </row>
    <row r="300" customFormat="false" ht="40.5" hidden="false" customHeight="true" outlineLevel="0" collapsed="false">
      <c r="A300" s="37" t="n">
        <v>280</v>
      </c>
      <c r="B300" s="38" t="s">
        <v>67</v>
      </c>
      <c r="C300" s="38" t="s">
        <v>860</v>
      </c>
      <c r="D300" s="38" t="s">
        <v>885</v>
      </c>
      <c r="E300" s="38" t="s">
        <v>891</v>
      </c>
      <c r="F300" s="38" t="s">
        <v>892</v>
      </c>
      <c r="G300" s="39" t="s">
        <v>893</v>
      </c>
      <c r="H300" s="38"/>
      <c r="I300" s="29"/>
      <c r="J300" s="29"/>
      <c r="K300" s="29"/>
    </row>
    <row r="301" customFormat="false" ht="40.5" hidden="false" customHeight="true" outlineLevel="0" collapsed="false">
      <c r="A301" s="37" t="n">
        <v>281</v>
      </c>
      <c r="B301" s="38" t="s">
        <v>67</v>
      </c>
      <c r="C301" s="38" t="s">
        <v>860</v>
      </c>
      <c r="D301" s="38" t="s">
        <v>885</v>
      </c>
      <c r="E301" s="38" t="s">
        <v>894</v>
      </c>
      <c r="F301" s="38" t="s">
        <v>895</v>
      </c>
      <c r="G301" s="39" t="s">
        <v>896</v>
      </c>
      <c r="H301" s="38"/>
      <c r="I301" s="29"/>
      <c r="J301" s="29"/>
      <c r="K301" s="29"/>
    </row>
    <row r="302" customFormat="false" ht="54" hidden="false" customHeight="true" outlineLevel="0" collapsed="false">
      <c r="A302" s="37" t="n">
        <v>282</v>
      </c>
      <c r="B302" s="38" t="s">
        <v>67</v>
      </c>
      <c r="C302" s="38" t="s">
        <v>860</v>
      </c>
      <c r="D302" s="38" t="s">
        <v>897</v>
      </c>
      <c r="E302" s="38" t="s">
        <v>898</v>
      </c>
      <c r="F302" s="38" t="s">
        <v>899</v>
      </c>
      <c r="G302" s="39" t="s">
        <v>900</v>
      </c>
      <c r="H302" s="38"/>
      <c r="I302" s="29"/>
      <c r="J302" s="29"/>
      <c r="K302" s="29"/>
    </row>
    <row r="303" customFormat="false" ht="54" hidden="false" customHeight="true" outlineLevel="0" collapsed="false">
      <c r="A303" s="37" t="n">
        <v>283</v>
      </c>
      <c r="B303" s="38" t="s">
        <v>67</v>
      </c>
      <c r="C303" s="38" t="s">
        <v>860</v>
      </c>
      <c r="D303" s="38" t="s">
        <v>901</v>
      </c>
      <c r="E303" s="38" t="s">
        <v>898</v>
      </c>
      <c r="F303" s="38" t="s">
        <v>902</v>
      </c>
      <c r="G303" s="39" t="s">
        <v>903</v>
      </c>
      <c r="H303" s="38"/>
      <c r="I303" s="29"/>
      <c r="J303" s="29"/>
      <c r="K303" s="29"/>
    </row>
    <row r="304" customFormat="false" ht="54" hidden="false" customHeight="true" outlineLevel="0" collapsed="false">
      <c r="A304" s="37" t="n">
        <v>284</v>
      </c>
      <c r="B304" s="38" t="s">
        <v>67</v>
      </c>
      <c r="C304" s="38" t="s">
        <v>860</v>
      </c>
      <c r="D304" s="38" t="s">
        <v>904</v>
      </c>
      <c r="E304" s="38" t="s">
        <v>898</v>
      </c>
      <c r="F304" s="38" t="s">
        <v>905</v>
      </c>
      <c r="G304" s="39" t="s">
        <v>906</v>
      </c>
      <c r="H304" s="38"/>
      <c r="I304" s="29"/>
      <c r="J304" s="29"/>
      <c r="K304" s="29"/>
    </row>
    <row r="305" customFormat="false" ht="40.5" hidden="false" customHeight="true" outlineLevel="0" collapsed="false">
      <c r="A305" s="37" t="n">
        <v>285</v>
      </c>
      <c r="B305" s="38" t="s">
        <v>67</v>
      </c>
      <c r="C305" s="38" t="s">
        <v>860</v>
      </c>
      <c r="D305" s="38" t="s">
        <v>897</v>
      </c>
      <c r="E305" s="38" t="s">
        <v>894</v>
      </c>
      <c r="F305" s="38" t="s">
        <v>907</v>
      </c>
      <c r="G305" s="39" t="s">
        <v>908</v>
      </c>
      <c r="H305" s="38"/>
      <c r="I305" s="29"/>
      <c r="J305" s="29"/>
      <c r="K305" s="29"/>
    </row>
    <row r="306" customFormat="false" ht="40.5" hidden="false" customHeight="true" outlineLevel="0" collapsed="false">
      <c r="A306" s="37" t="n">
        <v>286</v>
      </c>
      <c r="B306" s="38" t="s">
        <v>67</v>
      </c>
      <c r="C306" s="38" t="s">
        <v>860</v>
      </c>
      <c r="D306" s="38" t="s">
        <v>901</v>
      </c>
      <c r="E306" s="38" t="s">
        <v>894</v>
      </c>
      <c r="F306" s="38" t="s">
        <v>909</v>
      </c>
      <c r="G306" s="39" t="s">
        <v>910</v>
      </c>
      <c r="H306" s="38"/>
      <c r="I306" s="29"/>
      <c r="J306" s="29"/>
      <c r="K306" s="29"/>
    </row>
    <row r="307" customFormat="false" ht="40.5" hidden="false" customHeight="true" outlineLevel="0" collapsed="false">
      <c r="A307" s="37" t="n">
        <v>287</v>
      </c>
      <c r="B307" s="38" t="s">
        <v>67</v>
      </c>
      <c r="C307" s="38" t="s">
        <v>860</v>
      </c>
      <c r="D307" s="38" t="s">
        <v>904</v>
      </c>
      <c r="E307" s="38" t="s">
        <v>894</v>
      </c>
      <c r="F307" s="38" t="s">
        <v>911</v>
      </c>
      <c r="G307" s="39" t="s">
        <v>912</v>
      </c>
      <c r="H307" s="38"/>
      <c r="I307" s="29"/>
      <c r="J307" s="29"/>
      <c r="K307" s="29"/>
    </row>
    <row r="308" customFormat="false" ht="40.5" hidden="false" customHeight="true" outlineLevel="0" collapsed="false">
      <c r="A308" s="37" t="n">
        <v>288</v>
      </c>
      <c r="B308" s="38" t="s">
        <v>67</v>
      </c>
      <c r="C308" s="38" t="s">
        <v>860</v>
      </c>
      <c r="D308" s="38" t="s">
        <v>913</v>
      </c>
      <c r="E308" s="38" t="s">
        <v>914</v>
      </c>
      <c r="F308" s="38" t="s">
        <v>915</v>
      </c>
      <c r="G308" s="39" t="s">
        <v>916</v>
      </c>
      <c r="H308" s="38"/>
      <c r="I308" s="29"/>
      <c r="J308" s="29"/>
      <c r="K308" s="29"/>
    </row>
    <row r="309" customFormat="false" ht="40.5" hidden="false" customHeight="true" outlineLevel="0" collapsed="false">
      <c r="A309" s="37" t="n">
        <v>289</v>
      </c>
      <c r="B309" s="38" t="s">
        <v>67</v>
      </c>
      <c r="C309" s="38" t="s">
        <v>860</v>
      </c>
      <c r="D309" s="38" t="s">
        <v>913</v>
      </c>
      <c r="E309" s="38" t="s">
        <v>917</v>
      </c>
      <c r="F309" s="38" t="s">
        <v>918</v>
      </c>
      <c r="G309" s="39" t="s">
        <v>919</v>
      </c>
      <c r="H309" s="38"/>
      <c r="I309" s="29"/>
      <c r="J309" s="29"/>
      <c r="K309" s="29"/>
    </row>
    <row r="310" customFormat="false" ht="40.5" hidden="false" customHeight="true" outlineLevel="0" collapsed="false">
      <c r="A310" s="37" t="n">
        <v>290</v>
      </c>
      <c r="B310" s="38" t="s">
        <v>67</v>
      </c>
      <c r="C310" s="38" t="s">
        <v>920</v>
      </c>
      <c r="D310" s="38" t="s">
        <v>753</v>
      </c>
      <c r="E310" s="38"/>
      <c r="F310" s="38" t="s">
        <v>921</v>
      </c>
      <c r="G310" s="39" t="s">
        <v>922</v>
      </c>
      <c r="H310" s="38"/>
      <c r="I310" s="29"/>
      <c r="J310" s="29"/>
      <c r="K310" s="29"/>
    </row>
    <row r="311" customFormat="false" ht="40.5" hidden="false" customHeight="true" outlineLevel="0" collapsed="false">
      <c r="A311" s="37" t="n">
        <v>291</v>
      </c>
      <c r="B311" s="38" t="s">
        <v>67</v>
      </c>
      <c r="C311" s="38" t="s">
        <v>920</v>
      </c>
      <c r="D311" s="38" t="s">
        <v>312</v>
      </c>
      <c r="E311" s="38"/>
      <c r="F311" s="38" t="s">
        <v>923</v>
      </c>
      <c r="G311" s="39" t="s">
        <v>924</v>
      </c>
      <c r="H311" s="38"/>
      <c r="I311" s="29"/>
      <c r="J311" s="29"/>
      <c r="K311" s="29"/>
    </row>
    <row r="312" customFormat="false" ht="54" hidden="false" customHeight="true" outlineLevel="0" collapsed="false">
      <c r="A312" s="37" t="n">
        <v>292</v>
      </c>
      <c r="B312" s="38" t="s">
        <v>67</v>
      </c>
      <c r="C312" s="38" t="s">
        <v>920</v>
      </c>
      <c r="D312" s="38" t="s">
        <v>925</v>
      </c>
      <c r="E312" s="38" t="s">
        <v>754</v>
      </c>
      <c r="F312" s="38" t="s">
        <v>926</v>
      </c>
      <c r="G312" s="39" t="s">
        <v>927</v>
      </c>
      <c r="H312" s="38"/>
      <c r="I312" s="29"/>
      <c r="J312" s="29"/>
      <c r="K312" s="29"/>
    </row>
    <row r="313" customFormat="false" ht="54" hidden="false" customHeight="true" outlineLevel="0" collapsed="false">
      <c r="A313" s="37" t="n">
        <v>293</v>
      </c>
      <c r="B313" s="38" t="s">
        <v>67</v>
      </c>
      <c r="C313" s="38" t="s">
        <v>920</v>
      </c>
      <c r="D313" s="38" t="s">
        <v>925</v>
      </c>
      <c r="E313" s="38" t="s">
        <v>755</v>
      </c>
      <c r="F313" s="38" t="s">
        <v>928</v>
      </c>
      <c r="G313" s="39" t="s">
        <v>929</v>
      </c>
      <c r="H313" s="38"/>
      <c r="I313" s="29"/>
      <c r="J313" s="29"/>
      <c r="K313" s="29"/>
    </row>
    <row r="314" customFormat="false" ht="40.5" hidden="false" customHeight="true" outlineLevel="0" collapsed="false">
      <c r="A314" s="37" t="n">
        <v>294</v>
      </c>
      <c r="B314" s="38" t="s">
        <v>67</v>
      </c>
      <c r="C314" s="38" t="s">
        <v>920</v>
      </c>
      <c r="D314" s="38" t="s">
        <v>930</v>
      </c>
      <c r="E314" s="38"/>
      <c r="F314" s="38" t="s">
        <v>931</v>
      </c>
      <c r="G314" s="39" t="s">
        <v>932</v>
      </c>
      <c r="H314" s="38"/>
      <c r="I314" s="29"/>
      <c r="J314" s="29"/>
      <c r="K314" s="29"/>
    </row>
    <row r="315" customFormat="false" ht="40.5" hidden="false" customHeight="true" outlineLevel="0" collapsed="false">
      <c r="A315" s="37" t="n">
        <v>295</v>
      </c>
      <c r="B315" s="38" t="s">
        <v>67</v>
      </c>
      <c r="C315" s="38" t="s">
        <v>920</v>
      </c>
      <c r="D315" s="38" t="s">
        <v>933</v>
      </c>
      <c r="E315" s="38"/>
      <c r="F315" s="38" t="s">
        <v>934</v>
      </c>
      <c r="G315" s="39" t="s">
        <v>935</v>
      </c>
      <c r="H315" s="38"/>
      <c r="I315" s="29"/>
      <c r="J315" s="29"/>
      <c r="K315" s="29"/>
    </row>
    <row r="316" customFormat="false" ht="40.5" hidden="false" customHeight="true" outlineLevel="0" collapsed="false">
      <c r="A316" s="37" t="n">
        <v>296</v>
      </c>
      <c r="B316" s="38" t="s">
        <v>67</v>
      </c>
      <c r="C316" s="38" t="s">
        <v>920</v>
      </c>
      <c r="D316" s="38" t="s">
        <v>936</v>
      </c>
      <c r="E316" s="38"/>
      <c r="F316" s="38" t="s">
        <v>819</v>
      </c>
      <c r="G316" s="39" t="s">
        <v>820</v>
      </c>
      <c r="H316" s="38"/>
      <c r="I316" s="29"/>
      <c r="J316" s="29"/>
      <c r="K316" s="29"/>
    </row>
    <row r="317" customFormat="false" ht="40.5" hidden="false" customHeight="true" outlineLevel="0" collapsed="false">
      <c r="A317" s="37" t="n">
        <v>297</v>
      </c>
      <c r="B317" s="38" t="s">
        <v>67</v>
      </c>
      <c r="C317" s="38" t="s">
        <v>920</v>
      </c>
      <c r="D317" s="38" t="s">
        <v>937</v>
      </c>
      <c r="E317" s="38"/>
      <c r="F317" s="38" t="s">
        <v>812</v>
      </c>
      <c r="G317" s="39" t="s">
        <v>813</v>
      </c>
      <c r="H317" s="38"/>
      <c r="I317" s="29"/>
      <c r="J317" s="29"/>
      <c r="K317" s="29"/>
    </row>
    <row r="318" customFormat="false" ht="40.5" hidden="false" customHeight="true" outlineLevel="0" collapsed="false">
      <c r="A318" s="37" t="n">
        <v>298</v>
      </c>
      <c r="B318" s="38" t="s">
        <v>67</v>
      </c>
      <c r="C318" s="38" t="s">
        <v>920</v>
      </c>
      <c r="D318" s="38" t="s">
        <v>938</v>
      </c>
      <c r="E318" s="38"/>
      <c r="F318" s="38" t="s">
        <v>939</v>
      </c>
      <c r="G318" s="39" t="s">
        <v>940</v>
      </c>
      <c r="H318" s="38" t="s">
        <v>941</v>
      </c>
      <c r="I318" s="29"/>
      <c r="J318" s="29"/>
      <c r="K318" s="29"/>
    </row>
    <row r="319" customFormat="false" ht="40.5" hidden="false" customHeight="true" outlineLevel="0" collapsed="false">
      <c r="A319" s="37" t="n">
        <v>299</v>
      </c>
      <c r="B319" s="38" t="s">
        <v>67</v>
      </c>
      <c r="C319" s="38" t="s">
        <v>920</v>
      </c>
      <c r="D319" s="38" t="s">
        <v>942</v>
      </c>
      <c r="E319" s="38"/>
      <c r="F319" s="38" t="s">
        <v>943</v>
      </c>
      <c r="G319" s="39" t="s">
        <v>944</v>
      </c>
      <c r="H319" s="38"/>
      <c r="I319" s="29"/>
      <c r="J319" s="29"/>
      <c r="K319" s="29"/>
    </row>
    <row r="320" customFormat="false" ht="40.5" hidden="false" customHeight="true" outlineLevel="0" collapsed="false">
      <c r="A320" s="37" t="n">
        <v>300</v>
      </c>
      <c r="B320" s="38" t="s">
        <v>67</v>
      </c>
      <c r="C320" s="38" t="s">
        <v>920</v>
      </c>
      <c r="D320" s="38" t="s">
        <v>821</v>
      </c>
      <c r="E320" s="38"/>
      <c r="F320" s="38" t="s">
        <v>945</v>
      </c>
      <c r="G320" s="39" t="s">
        <v>946</v>
      </c>
      <c r="H320" s="38" t="s">
        <v>128</v>
      </c>
      <c r="I320" s="29"/>
      <c r="J320" s="29"/>
      <c r="K320" s="29"/>
    </row>
    <row r="321" customFormat="false" ht="54" hidden="false" customHeight="true" outlineLevel="0" collapsed="false">
      <c r="A321" s="30" t="s">
        <v>947</v>
      </c>
      <c r="B321" s="31" t="s">
        <v>67</v>
      </c>
      <c r="C321" s="31" t="s">
        <v>920</v>
      </c>
      <c r="D321" s="31" t="s">
        <v>948</v>
      </c>
      <c r="E321" s="31"/>
      <c r="F321" s="31" t="s">
        <v>949</v>
      </c>
      <c r="G321" s="32" t="s">
        <v>950</v>
      </c>
      <c r="H321" s="31" t="s">
        <v>951</v>
      </c>
      <c r="I321" s="31"/>
      <c r="J321" s="31"/>
      <c r="K321" s="29"/>
    </row>
    <row r="322" customFormat="false" ht="40.5" hidden="false" customHeight="true" outlineLevel="0" collapsed="false">
      <c r="A322" s="37" t="n">
        <v>301</v>
      </c>
      <c r="B322" s="38" t="s">
        <v>67</v>
      </c>
      <c r="C322" s="38" t="s">
        <v>920</v>
      </c>
      <c r="D322" s="38" t="s">
        <v>952</v>
      </c>
      <c r="E322" s="38"/>
      <c r="F322" s="38" t="s">
        <v>953</v>
      </c>
      <c r="G322" s="39" t="s">
        <v>954</v>
      </c>
      <c r="H322" s="38"/>
      <c r="I322" s="29"/>
      <c r="J322" s="29"/>
      <c r="K322" s="29"/>
    </row>
    <row r="323" customFormat="false" ht="40.5" hidden="false" customHeight="true" outlineLevel="0" collapsed="false">
      <c r="A323" s="37" t="n">
        <v>302</v>
      </c>
      <c r="B323" s="38" t="s">
        <v>67</v>
      </c>
      <c r="C323" s="38" t="s">
        <v>920</v>
      </c>
      <c r="D323" s="38" t="s">
        <v>955</v>
      </c>
      <c r="E323" s="38"/>
      <c r="F323" s="38" t="s">
        <v>956</v>
      </c>
      <c r="G323" s="39" t="s">
        <v>957</v>
      </c>
      <c r="H323" s="38" t="s">
        <v>958</v>
      </c>
      <c r="I323" s="29"/>
      <c r="J323" s="29"/>
      <c r="K323" s="29"/>
    </row>
    <row r="324" customFormat="false" ht="40.5" hidden="false" customHeight="true" outlineLevel="0" collapsed="false">
      <c r="A324" s="37" t="n">
        <v>303</v>
      </c>
      <c r="B324" s="38" t="s">
        <v>67</v>
      </c>
      <c r="C324" s="38" t="s">
        <v>920</v>
      </c>
      <c r="D324" s="38" t="s">
        <v>959</v>
      </c>
      <c r="E324" s="38"/>
      <c r="F324" s="38" t="s">
        <v>960</v>
      </c>
      <c r="G324" s="39" t="s">
        <v>961</v>
      </c>
      <c r="H324" s="38" t="s">
        <v>958</v>
      </c>
      <c r="I324" s="29"/>
      <c r="J324" s="29"/>
      <c r="K324" s="29"/>
    </row>
    <row r="325" customFormat="false" ht="40.5" hidden="false" customHeight="true" outlineLevel="0" collapsed="false">
      <c r="A325" s="37" t="n">
        <v>304</v>
      </c>
      <c r="B325" s="38" t="s">
        <v>67</v>
      </c>
      <c r="C325" s="38" t="s">
        <v>920</v>
      </c>
      <c r="D325" s="38" t="s">
        <v>962</v>
      </c>
      <c r="E325" s="38"/>
      <c r="F325" s="38" t="s">
        <v>963</v>
      </c>
      <c r="G325" s="39" t="s">
        <v>964</v>
      </c>
      <c r="H325" s="38" t="s">
        <v>958</v>
      </c>
      <c r="I325" s="29"/>
      <c r="J325" s="29"/>
      <c r="K325" s="29"/>
    </row>
    <row r="326" customFormat="false" ht="40.5" hidden="false" customHeight="true" outlineLevel="0" collapsed="false">
      <c r="A326" s="37" t="n">
        <v>305</v>
      </c>
      <c r="B326" s="38" t="s">
        <v>67</v>
      </c>
      <c r="C326" s="38" t="s">
        <v>920</v>
      </c>
      <c r="D326" s="38" t="s">
        <v>965</v>
      </c>
      <c r="E326" s="38"/>
      <c r="F326" s="38" t="s">
        <v>966</v>
      </c>
      <c r="G326" s="39" t="s">
        <v>967</v>
      </c>
      <c r="H326" s="38" t="s">
        <v>958</v>
      </c>
      <c r="I326" s="29"/>
      <c r="J326" s="29"/>
      <c r="K326" s="29"/>
    </row>
    <row r="327" customFormat="false" ht="67.5" hidden="false" customHeight="true" outlineLevel="0" collapsed="false">
      <c r="A327" s="30" t="s">
        <v>968</v>
      </c>
      <c r="B327" s="31" t="s">
        <v>67</v>
      </c>
      <c r="C327" s="31" t="s">
        <v>920</v>
      </c>
      <c r="D327" s="31" t="s">
        <v>969</v>
      </c>
      <c r="E327" s="31"/>
      <c r="F327" s="31" t="s">
        <v>970</v>
      </c>
      <c r="G327" s="32" t="s">
        <v>971</v>
      </c>
      <c r="H327" s="31" t="s">
        <v>972</v>
      </c>
      <c r="I327" s="31"/>
      <c r="J327" s="31"/>
      <c r="K327" s="29"/>
    </row>
    <row r="328" customFormat="false" ht="40.5" hidden="false" customHeight="true" outlineLevel="0" collapsed="false">
      <c r="A328" s="37" t="n">
        <v>306</v>
      </c>
      <c r="B328" s="38" t="s">
        <v>67</v>
      </c>
      <c r="C328" s="38" t="s">
        <v>920</v>
      </c>
      <c r="D328" s="38" t="s">
        <v>973</v>
      </c>
      <c r="E328" s="38"/>
      <c r="F328" s="38" t="s">
        <v>974</v>
      </c>
      <c r="G328" s="39" t="s">
        <v>975</v>
      </c>
      <c r="H328" s="38" t="s">
        <v>976</v>
      </c>
      <c r="I328" s="29"/>
      <c r="J328" s="29"/>
      <c r="K328" s="29"/>
    </row>
    <row r="329" customFormat="false" ht="40.5" hidden="false" customHeight="true" outlineLevel="0" collapsed="false">
      <c r="A329" s="37" t="n">
        <v>307</v>
      </c>
      <c r="B329" s="38" t="s">
        <v>67</v>
      </c>
      <c r="C329" s="38" t="s">
        <v>920</v>
      </c>
      <c r="D329" s="38" t="s">
        <v>977</v>
      </c>
      <c r="E329" s="38"/>
      <c r="F329" s="38" t="s">
        <v>978</v>
      </c>
      <c r="G329" s="39" t="s">
        <v>979</v>
      </c>
      <c r="H329" s="38" t="s">
        <v>980</v>
      </c>
      <c r="I329" s="29"/>
      <c r="J329" s="29"/>
      <c r="K329" s="29"/>
    </row>
    <row r="330" customFormat="false" ht="40.5" hidden="false" customHeight="true" outlineLevel="0" collapsed="false">
      <c r="A330" s="37" t="n">
        <v>308</v>
      </c>
      <c r="B330" s="38" t="s">
        <v>67</v>
      </c>
      <c r="C330" s="38" t="s">
        <v>920</v>
      </c>
      <c r="D330" s="38" t="s">
        <v>977</v>
      </c>
      <c r="E330" s="38"/>
      <c r="F330" s="38" t="s">
        <v>981</v>
      </c>
      <c r="G330" s="39" t="s">
        <v>982</v>
      </c>
      <c r="H330" s="38" t="s">
        <v>980</v>
      </c>
      <c r="I330" s="29"/>
      <c r="J330" s="29"/>
      <c r="K330" s="29"/>
    </row>
    <row r="331" customFormat="false" ht="40.5" hidden="false" customHeight="true" outlineLevel="0" collapsed="false">
      <c r="A331" s="37" t="n">
        <v>309</v>
      </c>
      <c r="B331" s="38" t="s">
        <v>67</v>
      </c>
      <c r="C331" s="38" t="s">
        <v>920</v>
      </c>
      <c r="D331" s="38" t="s">
        <v>977</v>
      </c>
      <c r="E331" s="38"/>
      <c r="F331" s="38" t="s">
        <v>983</v>
      </c>
      <c r="G331" s="39" t="s">
        <v>984</v>
      </c>
      <c r="H331" s="38" t="s">
        <v>980</v>
      </c>
      <c r="I331" s="29"/>
      <c r="J331" s="29"/>
      <c r="K331" s="29"/>
    </row>
    <row r="332" customFormat="false" ht="40.5" hidden="false" customHeight="true" outlineLevel="0" collapsed="false">
      <c r="A332" s="37" t="n">
        <v>310</v>
      </c>
      <c r="B332" s="38" t="s">
        <v>67</v>
      </c>
      <c r="C332" s="38" t="s">
        <v>920</v>
      </c>
      <c r="D332" s="38" t="s">
        <v>977</v>
      </c>
      <c r="E332" s="38"/>
      <c r="F332" s="38" t="s">
        <v>985</v>
      </c>
      <c r="G332" s="39" t="s">
        <v>986</v>
      </c>
      <c r="H332" s="38" t="s">
        <v>980</v>
      </c>
      <c r="I332" s="29"/>
      <c r="J332" s="29"/>
      <c r="K332" s="29"/>
    </row>
    <row r="333" customFormat="false" ht="40.5" hidden="false" customHeight="true" outlineLevel="0" collapsed="false">
      <c r="A333" s="37" t="n">
        <v>311</v>
      </c>
      <c r="B333" s="38" t="s">
        <v>67</v>
      </c>
      <c r="C333" s="38" t="s">
        <v>920</v>
      </c>
      <c r="D333" s="38" t="s">
        <v>977</v>
      </c>
      <c r="E333" s="38"/>
      <c r="F333" s="38" t="s">
        <v>987</v>
      </c>
      <c r="G333" s="39" t="s">
        <v>988</v>
      </c>
      <c r="H333" s="38" t="s">
        <v>980</v>
      </c>
      <c r="I333" s="29"/>
      <c r="J333" s="29"/>
      <c r="K333" s="29"/>
    </row>
    <row r="334" customFormat="false" ht="40.5" hidden="false" customHeight="true" outlineLevel="0" collapsed="false">
      <c r="A334" s="37" t="n">
        <v>312</v>
      </c>
      <c r="B334" s="38" t="s">
        <v>67</v>
      </c>
      <c r="C334" s="38" t="s">
        <v>920</v>
      </c>
      <c r="D334" s="38" t="s">
        <v>977</v>
      </c>
      <c r="E334" s="38"/>
      <c r="F334" s="38" t="s">
        <v>989</v>
      </c>
      <c r="G334" s="39" t="s">
        <v>990</v>
      </c>
      <c r="H334" s="38" t="s">
        <v>980</v>
      </c>
      <c r="I334" s="29"/>
      <c r="J334" s="29"/>
      <c r="K334" s="29"/>
    </row>
    <row r="335" customFormat="false" ht="40.5" hidden="false" customHeight="true" outlineLevel="0" collapsed="false">
      <c r="A335" s="37" t="n">
        <v>313</v>
      </c>
      <c r="B335" s="38" t="s">
        <v>67</v>
      </c>
      <c r="C335" s="38" t="s">
        <v>920</v>
      </c>
      <c r="D335" s="38" t="s">
        <v>977</v>
      </c>
      <c r="E335" s="38"/>
      <c r="F335" s="38" t="s">
        <v>991</v>
      </c>
      <c r="G335" s="39" t="s">
        <v>992</v>
      </c>
      <c r="H335" s="38" t="s">
        <v>980</v>
      </c>
      <c r="I335" s="29"/>
      <c r="J335" s="29"/>
      <c r="K335" s="29"/>
    </row>
    <row r="336" customFormat="false" ht="40.5" hidden="false" customHeight="true" outlineLevel="0" collapsed="false">
      <c r="A336" s="37" t="n">
        <v>314</v>
      </c>
      <c r="B336" s="38" t="s">
        <v>67</v>
      </c>
      <c r="C336" s="38" t="s">
        <v>920</v>
      </c>
      <c r="D336" s="38" t="s">
        <v>977</v>
      </c>
      <c r="E336" s="38"/>
      <c r="F336" s="38" t="s">
        <v>993</v>
      </c>
      <c r="G336" s="39" t="s">
        <v>994</v>
      </c>
      <c r="H336" s="38" t="s">
        <v>980</v>
      </c>
      <c r="I336" s="29"/>
      <c r="J336" s="29"/>
      <c r="K336" s="29"/>
    </row>
    <row r="337" customFormat="false" ht="40.5" hidden="false" customHeight="true" outlineLevel="0" collapsed="false">
      <c r="A337" s="37" t="n">
        <v>315</v>
      </c>
      <c r="B337" s="38" t="s">
        <v>67</v>
      </c>
      <c r="C337" s="38" t="s">
        <v>920</v>
      </c>
      <c r="D337" s="38" t="s">
        <v>977</v>
      </c>
      <c r="E337" s="38"/>
      <c r="F337" s="38" t="s">
        <v>995</v>
      </c>
      <c r="G337" s="39" t="s">
        <v>996</v>
      </c>
      <c r="H337" s="38" t="s">
        <v>980</v>
      </c>
      <c r="I337" s="29"/>
      <c r="J337" s="29"/>
      <c r="K337" s="29"/>
    </row>
    <row r="338" customFormat="false" ht="40.5" hidden="false" customHeight="true" outlineLevel="0" collapsed="false">
      <c r="A338" s="37" t="n">
        <v>316</v>
      </c>
      <c r="B338" s="38" t="s">
        <v>67</v>
      </c>
      <c r="C338" s="38" t="s">
        <v>920</v>
      </c>
      <c r="D338" s="38" t="s">
        <v>977</v>
      </c>
      <c r="E338" s="38"/>
      <c r="F338" s="38" t="s">
        <v>997</v>
      </c>
      <c r="G338" s="39" t="s">
        <v>998</v>
      </c>
      <c r="H338" s="38" t="s">
        <v>980</v>
      </c>
      <c r="I338" s="29"/>
      <c r="J338" s="29"/>
      <c r="K338" s="29"/>
    </row>
    <row r="339" customFormat="false" ht="40.5" hidden="false" customHeight="true" outlineLevel="0" collapsed="false">
      <c r="A339" s="37" t="n">
        <v>317</v>
      </c>
      <c r="B339" s="38" t="s">
        <v>67</v>
      </c>
      <c r="C339" s="38" t="s">
        <v>920</v>
      </c>
      <c r="D339" s="38" t="s">
        <v>977</v>
      </c>
      <c r="E339" s="38"/>
      <c r="F339" s="38" t="s">
        <v>999</v>
      </c>
      <c r="G339" s="39" t="s">
        <v>1000</v>
      </c>
      <c r="H339" s="38" t="s">
        <v>980</v>
      </c>
      <c r="I339" s="29"/>
      <c r="J339" s="29"/>
      <c r="K339" s="29"/>
    </row>
    <row r="340" customFormat="false" ht="40.5" hidden="false" customHeight="true" outlineLevel="0" collapsed="false">
      <c r="A340" s="37" t="n">
        <v>318</v>
      </c>
      <c r="B340" s="38" t="s">
        <v>67</v>
      </c>
      <c r="C340" s="38" t="s">
        <v>920</v>
      </c>
      <c r="D340" s="38" t="s">
        <v>977</v>
      </c>
      <c r="E340" s="38"/>
      <c r="F340" s="38" t="s">
        <v>1001</v>
      </c>
      <c r="G340" s="39" t="s">
        <v>1002</v>
      </c>
      <c r="H340" s="38" t="s">
        <v>980</v>
      </c>
      <c r="I340" s="29"/>
      <c r="J340" s="29"/>
      <c r="K340" s="29"/>
    </row>
    <row r="341" customFormat="false" ht="40.5" hidden="false" customHeight="true" outlineLevel="0" collapsed="false">
      <c r="A341" s="37" t="n">
        <v>319</v>
      </c>
      <c r="B341" s="38" t="s">
        <v>67</v>
      </c>
      <c r="C341" s="38" t="s">
        <v>920</v>
      </c>
      <c r="D341" s="38" t="s">
        <v>977</v>
      </c>
      <c r="E341" s="38"/>
      <c r="F341" s="38" t="s">
        <v>1003</v>
      </c>
      <c r="G341" s="39" t="s">
        <v>1004</v>
      </c>
      <c r="H341" s="38" t="s">
        <v>980</v>
      </c>
      <c r="I341" s="29"/>
      <c r="J341" s="29"/>
      <c r="K341" s="29"/>
    </row>
    <row r="342" customFormat="false" ht="40.5" hidden="false" customHeight="true" outlineLevel="0" collapsed="false">
      <c r="A342" s="37" t="n">
        <v>320</v>
      </c>
      <c r="B342" s="38" t="s">
        <v>67</v>
      </c>
      <c r="C342" s="38" t="s">
        <v>920</v>
      </c>
      <c r="D342" s="38" t="s">
        <v>977</v>
      </c>
      <c r="E342" s="38"/>
      <c r="F342" s="38" t="s">
        <v>1005</v>
      </c>
      <c r="G342" s="39" t="s">
        <v>1006</v>
      </c>
      <c r="H342" s="38" t="s">
        <v>980</v>
      </c>
      <c r="I342" s="29"/>
      <c r="J342" s="29"/>
      <c r="K342" s="29"/>
    </row>
    <row r="343" customFormat="false" ht="40.5" hidden="false" customHeight="true" outlineLevel="0" collapsed="false">
      <c r="A343" s="37" t="n">
        <v>321</v>
      </c>
      <c r="B343" s="38" t="s">
        <v>67</v>
      </c>
      <c r="C343" s="38" t="s">
        <v>920</v>
      </c>
      <c r="D343" s="38" t="s">
        <v>977</v>
      </c>
      <c r="E343" s="38"/>
      <c r="F343" s="38" t="s">
        <v>1007</v>
      </c>
      <c r="G343" s="39" t="s">
        <v>1008</v>
      </c>
      <c r="H343" s="38" t="s">
        <v>980</v>
      </c>
      <c r="I343" s="29"/>
      <c r="J343" s="29"/>
      <c r="K343" s="29"/>
    </row>
    <row r="344" customFormat="false" ht="40.5" hidden="false" customHeight="true" outlineLevel="0" collapsed="false">
      <c r="A344" s="37" t="n">
        <v>322</v>
      </c>
      <c r="B344" s="38" t="s">
        <v>67</v>
      </c>
      <c r="C344" s="38" t="s">
        <v>920</v>
      </c>
      <c r="D344" s="38" t="s">
        <v>1009</v>
      </c>
      <c r="E344" s="38"/>
      <c r="F344" s="38" t="s">
        <v>1010</v>
      </c>
      <c r="G344" s="39" t="s">
        <v>1011</v>
      </c>
      <c r="H344" s="38"/>
      <c r="I344" s="29"/>
      <c r="J344" s="29"/>
      <c r="K344" s="29"/>
    </row>
    <row r="345" customFormat="false" ht="40.5" hidden="false" customHeight="true" outlineLevel="0" collapsed="false">
      <c r="A345" s="30" t="s">
        <v>1012</v>
      </c>
      <c r="B345" s="31" t="s">
        <v>67</v>
      </c>
      <c r="C345" s="31" t="s">
        <v>920</v>
      </c>
      <c r="D345" s="31" t="s">
        <v>1013</v>
      </c>
      <c r="E345" s="31"/>
      <c r="F345" s="31" t="s">
        <v>1014</v>
      </c>
      <c r="G345" s="32" t="s">
        <v>1015</v>
      </c>
      <c r="H345" s="31" t="s">
        <v>1016</v>
      </c>
      <c r="I345" s="31"/>
      <c r="J345" s="31"/>
      <c r="K345" s="29"/>
    </row>
    <row r="346" customFormat="false" ht="40.5" hidden="false" customHeight="true" outlineLevel="0" collapsed="false">
      <c r="A346" s="37" t="n">
        <v>323</v>
      </c>
      <c r="B346" s="38" t="s">
        <v>67</v>
      </c>
      <c r="C346" s="38" t="s">
        <v>920</v>
      </c>
      <c r="D346" s="38" t="s">
        <v>1017</v>
      </c>
      <c r="E346" s="38"/>
      <c r="F346" s="38" t="s">
        <v>1018</v>
      </c>
      <c r="G346" s="39" t="s">
        <v>1019</v>
      </c>
      <c r="H346" s="38"/>
      <c r="I346" s="29"/>
      <c r="J346" s="29"/>
      <c r="K346" s="29"/>
    </row>
    <row r="347" customFormat="false" ht="40.5" hidden="false" customHeight="true" outlineLevel="0" collapsed="false">
      <c r="A347" s="37" t="n">
        <v>324</v>
      </c>
      <c r="B347" s="38" t="s">
        <v>67</v>
      </c>
      <c r="C347" s="38" t="s">
        <v>920</v>
      </c>
      <c r="D347" s="38" t="s">
        <v>1020</v>
      </c>
      <c r="E347" s="38"/>
      <c r="F347" s="38" t="s">
        <v>1021</v>
      </c>
      <c r="G347" s="39" t="s">
        <v>1022</v>
      </c>
      <c r="H347" s="38" t="s">
        <v>1023</v>
      </c>
      <c r="I347" s="29"/>
      <c r="J347" s="29"/>
      <c r="K347" s="29"/>
    </row>
    <row r="348" customFormat="false" ht="40.5" hidden="false" customHeight="true" outlineLevel="0" collapsed="false">
      <c r="A348" s="37" t="n">
        <v>325</v>
      </c>
      <c r="B348" s="38" t="s">
        <v>67</v>
      </c>
      <c r="C348" s="38" t="s">
        <v>920</v>
      </c>
      <c r="D348" s="38" t="s">
        <v>1024</v>
      </c>
      <c r="E348" s="38" t="s">
        <v>1025</v>
      </c>
      <c r="F348" s="38" t="s">
        <v>1026</v>
      </c>
      <c r="G348" s="39" t="s">
        <v>1027</v>
      </c>
      <c r="H348" s="38"/>
      <c r="I348" s="29"/>
      <c r="J348" s="29"/>
      <c r="K348" s="29"/>
    </row>
    <row r="349" customFormat="false" ht="40.5" hidden="false" customHeight="true" outlineLevel="0" collapsed="false">
      <c r="A349" s="37" t="n">
        <v>326</v>
      </c>
      <c r="B349" s="38" t="s">
        <v>67</v>
      </c>
      <c r="C349" s="38" t="s">
        <v>920</v>
      </c>
      <c r="D349" s="38" t="s">
        <v>1028</v>
      </c>
      <c r="E349" s="38" t="s">
        <v>760</v>
      </c>
      <c r="F349" s="38" t="s">
        <v>1029</v>
      </c>
      <c r="G349" s="39" t="s">
        <v>1030</v>
      </c>
      <c r="H349" s="38"/>
      <c r="I349" s="29"/>
      <c r="J349" s="29"/>
      <c r="K349" s="29"/>
    </row>
    <row r="350" customFormat="false" ht="40.5" hidden="false" customHeight="true" outlineLevel="0" collapsed="false">
      <c r="A350" s="37" t="n">
        <v>327</v>
      </c>
      <c r="B350" s="38" t="s">
        <v>67</v>
      </c>
      <c r="C350" s="38" t="s">
        <v>920</v>
      </c>
      <c r="D350" s="38" t="s">
        <v>1031</v>
      </c>
      <c r="E350" s="38" t="s">
        <v>760</v>
      </c>
      <c r="F350" s="38" t="s">
        <v>1032</v>
      </c>
      <c r="G350" s="39" t="s">
        <v>1033</v>
      </c>
      <c r="H350" s="38"/>
      <c r="I350" s="29"/>
      <c r="J350" s="29"/>
      <c r="K350" s="29"/>
    </row>
    <row r="351" customFormat="false" ht="40.5" hidden="false" customHeight="true" outlineLevel="0" collapsed="false">
      <c r="A351" s="37" t="n">
        <v>328</v>
      </c>
      <c r="B351" s="38" t="s">
        <v>67</v>
      </c>
      <c r="C351" s="38" t="s">
        <v>920</v>
      </c>
      <c r="D351" s="38" t="s">
        <v>1034</v>
      </c>
      <c r="E351" s="38" t="s">
        <v>760</v>
      </c>
      <c r="F351" s="38" t="s">
        <v>1035</v>
      </c>
      <c r="G351" s="39" t="s">
        <v>1036</v>
      </c>
      <c r="H351" s="38"/>
      <c r="I351" s="29"/>
      <c r="J351" s="29"/>
      <c r="K351" s="29"/>
    </row>
    <row r="352" customFormat="false" ht="40.5" hidden="false" customHeight="true" outlineLevel="0" collapsed="false">
      <c r="A352" s="37" t="n">
        <v>329</v>
      </c>
      <c r="B352" s="38" t="s">
        <v>67</v>
      </c>
      <c r="C352" s="38" t="s">
        <v>920</v>
      </c>
      <c r="D352" s="38" t="s">
        <v>1028</v>
      </c>
      <c r="E352" s="38" t="s">
        <v>888</v>
      </c>
      <c r="F352" s="38" t="s">
        <v>1037</v>
      </c>
      <c r="G352" s="39" t="s">
        <v>1038</v>
      </c>
      <c r="H352" s="38"/>
      <c r="I352" s="29"/>
      <c r="J352" s="29"/>
      <c r="K352" s="29"/>
    </row>
    <row r="353" customFormat="false" ht="40.5" hidden="false" customHeight="true" outlineLevel="0" collapsed="false">
      <c r="A353" s="37" t="n">
        <v>330</v>
      </c>
      <c r="B353" s="38" t="s">
        <v>67</v>
      </c>
      <c r="C353" s="38" t="s">
        <v>920</v>
      </c>
      <c r="D353" s="38" t="s">
        <v>1031</v>
      </c>
      <c r="E353" s="38" t="s">
        <v>888</v>
      </c>
      <c r="F353" s="38" t="s">
        <v>1039</v>
      </c>
      <c r="G353" s="39" t="s">
        <v>1040</v>
      </c>
      <c r="H353" s="38"/>
      <c r="I353" s="29"/>
      <c r="J353" s="29"/>
      <c r="K353" s="29"/>
    </row>
    <row r="354" customFormat="false" ht="40.5" hidden="false" customHeight="true" outlineLevel="0" collapsed="false">
      <c r="A354" s="37" t="n">
        <v>331</v>
      </c>
      <c r="B354" s="38" t="s">
        <v>67</v>
      </c>
      <c r="C354" s="38" t="s">
        <v>920</v>
      </c>
      <c r="D354" s="38" t="s">
        <v>1034</v>
      </c>
      <c r="E354" s="38" t="s">
        <v>888</v>
      </c>
      <c r="F354" s="38" t="s">
        <v>1041</v>
      </c>
      <c r="G354" s="39" t="s">
        <v>1042</v>
      </c>
      <c r="H354" s="38"/>
      <c r="I354" s="29"/>
      <c r="J354" s="29"/>
      <c r="K354" s="29"/>
    </row>
    <row r="355" customFormat="false" ht="40.5" hidden="false" customHeight="true" outlineLevel="0" collapsed="false">
      <c r="A355" s="37" t="n">
        <v>332</v>
      </c>
      <c r="B355" s="38" t="s">
        <v>67</v>
      </c>
      <c r="C355" s="38" t="s">
        <v>920</v>
      </c>
      <c r="D355" s="38" t="s">
        <v>1028</v>
      </c>
      <c r="E355" s="38" t="s">
        <v>891</v>
      </c>
      <c r="F355" s="38" t="s">
        <v>1043</v>
      </c>
      <c r="G355" s="39" t="s">
        <v>1044</v>
      </c>
      <c r="H355" s="38"/>
      <c r="I355" s="29"/>
      <c r="J355" s="29"/>
      <c r="K355" s="29"/>
    </row>
    <row r="356" customFormat="false" ht="40.5" hidden="false" customHeight="true" outlineLevel="0" collapsed="false">
      <c r="A356" s="37" t="n">
        <v>333</v>
      </c>
      <c r="B356" s="38" t="s">
        <v>67</v>
      </c>
      <c r="C356" s="38" t="s">
        <v>920</v>
      </c>
      <c r="D356" s="38" t="s">
        <v>1031</v>
      </c>
      <c r="E356" s="38" t="s">
        <v>891</v>
      </c>
      <c r="F356" s="38" t="s">
        <v>1045</v>
      </c>
      <c r="G356" s="39" t="s">
        <v>1046</v>
      </c>
      <c r="H356" s="38"/>
      <c r="I356" s="29"/>
      <c r="J356" s="29"/>
      <c r="K356" s="29"/>
    </row>
    <row r="357" customFormat="false" ht="40.5" hidden="false" customHeight="true" outlineLevel="0" collapsed="false">
      <c r="A357" s="37" t="n">
        <v>334</v>
      </c>
      <c r="B357" s="38" t="s">
        <v>67</v>
      </c>
      <c r="C357" s="38" t="s">
        <v>920</v>
      </c>
      <c r="D357" s="38" t="s">
        <v>1034</v>
      </c>
      <c r="E357" s="38" t="s">
        <v>891</v>
      </c>
      <c r="F357" s="38" t="s">
        <v>1047</v>
      </c>
      <c r="G357" s="39" t="s">
        <v>1048</v>
      </c>
      <c r="H357" s="38"/>
      <c r="I357" s="29"/>
      <c r="J357" s="29"/>
      <c r="K357" s="29"/>
    </row>
    <row r="358" customFormat="false" ht="40.5" hidden="false" customHeight="true" outlineLevel="0" collapsed="false">
      <c r="A358" s="37" t="n">
        <v>335</v>
      </c>
      <c r="B358" s="38" t="s">
        <v>67</v>
      </c>
      <c r="C358" s="38" t="s">
        <v>920</v>
      </c>
      <c r="D358" s="38" t="s">
        <v>1028</v>
      </c>
      <c r="E358" s="38" t="s">
        <v>894</v>
      </c>
      <c r="F358" s="38" t="s">
        <v>1049</v>
      </c>
      <c r="G358" s="39" t="s">
        <v>1050</v>
      </c>
      <c r="H358" s="38"/>
      <c r="I358" s="29"/>
      <c r="J358" s="29"/>
      <c r="K358" s="29"/>
    </row>
    <row r="359" customFormat="false" ht="40.5" hidden="false" customHeight="true" outlineLevel="0" collapsed="false">
      <c r="A359" s="37" t="n">
        <v>336</v>
      </c>
      <c r="B359" s="38" t="s">
        <v>67</v>
      </c>
      <c r="C359" s="38" t="s">
        <v>920</v>
      </c>
      <c r="D359" s="38" t="s">
        <v>1031</v>
      </c>
      <c r="E359" s="38" t="s">
        <v>894</v>
      </c>
      <c r="F359" s="38" t="s">
        <v>1051</v>
      </c>
      <c r="G359" s="39" t="s">
        <v>1052</v>
      </c>
      <c r="H359" s="38"/>
      <c r="I359" s="29"/>
      <c r="J359" s="29"/>
      <c r="K359" s="29"/>
    </row>
    <row r="360" customFormat="false" ht="40.5" hidden="false" customHeight="true" outlineLevel="0" collapsed="false">
      <c r="A360" s="37" t="n">
        <v>337</v>
      </c>
      <c r="B360" s="38" t="s">
        <v>67</v>
      </c>
      <c r="C360" s="38" t="s">
        <v>920</v>
      </c>
      <c r="D360" s="38" t="s">
        <v>1034</v>
      </c>
      <c r="E360" s="38" t="s">
        <v>894</v>
      </c>
      <c r="F360" s="38" t="s">
        <v>1053</v>
      </c>
      <c r="G360" s="39" t="s">
        <v>1054</v>
      </c>
      <c r="H360" s="38"/>
      <c r="I360" s="29"/>
      <c r="J360" s="29"/>
      <c r="K360" s="29"/>
    </row>
    <row r="361" customFormat="false" ht="40.5" hidden="false" customHeight="true" outlineLevel="0" collapsed="false">
      <c r="A361" s="37" t="n">
        <v>338</v>
      </c>
      <c r="B361" s="38" t="s">
        <v>67</v>
      </c>
      <c r="C361" s="38" t="s">
        <v>1055</v>
      </c>
      <c r="D361" s="38" t="s">
        <v>753</v>
      </c>
      <c r="E361" s="38" t="s">
        <v>754</v>
      </c>
      <c r="F361" s="38" t="s">
        <v>1056</v>
      </c>
      <c r="G361" s="39" t="s">
        <v>1057</v>
      </c>
      <c r="H361" s="38"/>
      <c r="I361" s="29"/>
      <c r="J361" s="29"/>
      <c r="K361" s="29"/>
    </row>
    <row r="362" customFormat="false" ht="40.5" hidden="false" customHeight="true" outlineLevel="0" collapsed="false">
      <c r="A362" s="37" t="n">
        <v>339</v>
      </c>
      <c r="B362" s="38" t="s">
        <v>67</v>
      </c>
      <c r="C362" s="38" t="s">
        <v>1055</v>
      </c>
      <c r="D362" s="38" t="s">
        <v>753</v>
      </c>
      <c r="E362" s="38" t="s">
        <v>755</v>
      </c>
      <c r="F362" s="38" t="s">
        <v>1058</v>
      </c>
      <c r="G362" s="39" t="s">
        <v>1059</v>
      </c>
      <c r="H362" s="38"/>
      <c r="I362" s="29"/>
      <c r="J362" s="29"/>
      <c r="K362" s="29"/>
    </row>
    <row r="363" customFormat="false" ht="40.5" hidden="false" customHeight="true" outlineLevel="0" collapsed="false">
      <c r="A363" s="37" t="n">
        <v>340</v>
      </c>
      <c r="B363" s="38" t="s">
        <v>67</v>
      </c>
      <c r="C363" s="38" t="s">
        <v>1055</v>
      </c>
      <c r="D363" s="38" t="s">
        <v>1060</v>
      </c>
      <c r="E363" s="38" t="s">
        <v>1025</v>
      </c>
      <c r="F363" s="38" t="s">
        <v>1061</v>
      </c>
      <c r="G363" s="39" t="s">
        <v>1062</v>
      </c>
      <c r="H363" s="38" t="s">
        <v>1063</v>
      </c>
      <c r="I363" s="29"/>
      <c r="J363" s="29"/>
      <c r="K363" s="29"/>
    </row>
    <row r="364" customFormat="false" ht="40.5" hidden="false" customHeight="true" outlineLevel="0" collapsed="false">
      <c r="A364" s="37" t="n">
        <v>341</v>
      </c>
      <c r="B364" s="38" t="s">
        <v>67</v>
      </c>
      <c r="C364" s="38" t="s">
        <v>1055</v>
      </c>
      <c r="D364" s="38" t="s">
        <v>1064</v>
      </c>
      <c r="E364" s="38" t="s">
        <v>754</v>
      </c>
      <c r="F364" s="38" t="s">
        <v>1065</v>
      </c>
      <c r="G364" s="38" t="s">
        <v>1066</v>
      </c>
      <c r="H364" s="38"/>
      <c r="I364" s="29"/>
      <c r="J364" s="29"/>
      <c r="K364" s="29"/>
    </row>
    <row r="365" customFormat="false" ht="40.5" hidden="false" customHeight="true" outlineLevel="0" collapsed="false">
      <c r="A365" s="37" t="n">
        <v>342</v>
      </c>
      <c r="B365" s="38" t="s">
        <v>67</v>
      </c>
      <c r="C365" s="38" t="s">
        <v>1055</v>
      </c>
      <c r="D365" s="38" t="s">
        <v>1064</v>
      </c>
      <c r="E365" s="38" t="s">
        <v>755</v>
      </c>
      <c r="F365" s="38" t="s">
        <v>1067</v>
      </c>
      <c r="G365" s="38" t="s">
        <v>1066</v>
      </c>
      <c r="H365" s="38"/>
      <c r="I365" s="29"/>
      <c r="J365" s="29"/>
      <c r="K365" s="29"/>
    </row>
    <row r="366" customFormat="false" ht="40.5" hidden="false" customHeight="true" outlineLevel="0" collapsed="false">
      <c r="A366" s="37" t="n">
        <v>343</v>
      </c>
      <c r="B366" s="38" t="s">
        <v>67</v>
      </c>
      <c r="C366" s="38" t="s">
        <v>1055</v>
      </c>
      <c r="D366" s="38" t="s">
        <v>800</v>
      </c>
      <c r="E366" s="38"/>
      <c r="F366" s="38" t="s">
        <v>742</v>
      </c>
      <c r="G366" s="39" t="s">
        <v>743</v>
      </c>
      <c r="H366" s="38"/>
      <c r="I366" s="29"/>
      <c r="J366" s="29"/>
      <c r="K366" s="29"/>
    </row>
    <row r="367" customFormat="false" ht="40.5" hidden="false" customHeight="true" outlineLevel="0" collapsed="false">
      <c r="A367" s="37" t="n">
        <v>344</v>
      </c>
      <c r="B367" s="38" t="s">
        <v>67</v>
      </c>
      <c r="C367" s="38" t="s">
        <v>1055</v>
      </c>
      <c r="D367" s="38" t="s">
        <v>1068</v>
      </c>
      <c r="E367" s="38"/>
      <c r="F367" s="38" t="s">
        <v>1069</v>
      </c>
      <c r="G367" s="39" t="s">
        <v>1070</v>
      </c>
      <c r="H367" s="38"/>
      <c r="I367" s="29"/>
      <c r="J367" s="29"/>
      <c r="K367" s="29"/>
    </row>
    <row r="368" customFormat="false" ht="40.5" hidden="false" customHeight="true" outlineLevel="0" collapsed="false">
      <c r="A368" s="37" t="n">
        <v>345</v>
      </c>
      <c r="B368" s="38" t="s">
        <v>67</v>
      </c>
      <c r="C368" s="38" t="s">
        <v>1055</v>
      </c>
      <c r="D368" s="38" t="s">
        <v>1071</v>
      </c>
      <c r="E368" s="38"/>
      <c r="F368" s="38" t="s">
        <v>1072</v>
      </c>
      <c r="G368" s="39" t="s">
        <v>1073</v>
      </c>
      <c r="H368" s="38" t="s">
        <v>1074</v>
      </c>
      <c r="I368" s="29"/>
      <c r="J368" s="29"/>
      <c r="K368" s="29"/>
    </row>
    <row r="369" customFormat="false" ht="40.5" hidden="false" customHeight="true" outlineLevel="0" collapsed="false">
      <c r="A369" s="37" t="n">
        <v>346</v>
      </c>
      <c r="B369" s="38" t="s">
        <v>67</v>
      </c>
      <c r="C369" s="38" t="s">
        <v>1055</v>
      </c>
      <c r="D369" s="38" t="s">
        <v>1075</v>
      </c>
      <c r="E369" s="38"/>
      <c r="F369" s="38" t="s">
        <v>1076</v>
      </c>
      <c r="G369" s="39" t="s">
        <v>1077</v>
      </c>
      <c r="H369" s="38" t="s">
        <v>1074</v>
      </c>
      <c r="I369" s="29"/>
      <c r="J369" s="29"/>
      <c r="K369" s="29"/>
    </row>
    <row r="370" customFormat="false" ht="40.5" hidden="false" customHeight="true" outlineLevel="0" collapsed="false">
      <c r="A370" s="37" t="n">
        <v>347</v>
      </c>
      <c r="B370" s="38" t="s">
        <v>67</v>
      </c>
      <c r="C370" s="38" t="s">
        <v>1055</v>
      </c>
      <c r="D370" s="38" t="s">
        <v>1078</v>
      </c>
      <c r="E370" s="38"/>
      <c r="F370" s="38" t="s">
        <v>1079</v>
      </c>
      <c r="G370" s="39" t="s">
        <v>1080</v>
      </c>
      <c r="H370" s="38" t="s">
        <v>1074</v>
      </c>
      <c r="I370" s="29"/>
      <c r="J370" s="29"/>
      <c r="K370" s="29"/>
    </row>
    <row r="371" customFormat="false" ht="40.5" hidden="false" customHeight="true" outlineLevel="0" collapsed="false">
      <c r="A371" s="37" t="n">
        <v>348</v>
      </c>
      <c r="B371" s="38" t="s">
        <v>67</v>
      </c>
      <c r="C371" s="38" t="s">
        <v>1055</v>
      </c>
      <c r="D371" s="38" t="s">
        <v>1081</v>
      </c>
      <c r="E371" s="38"/>
      <c r="F371" s="38" t="s">
        <v>1082</v>
      </c>
      <c r="G371" s="39" t="s">
        <v>1083</v>
      </c>
      <c r="H371" s="38" t="s">
        <v>1074</v>
      </c>
      <c r="I371" s="29"/>
      <c r="J371" s="29"/>
      <c r="K371" s="29"/>
    </row>
    <row r="372" customFormat="false" ht="40.5" hidden="false" customHeight="true" outlineLevel="0" collapsed="false">
      <c r="A372" s="37" t="n">
        <v>349</v>
      </c>
      <c r="B372" s="38" t="s">
        <v>67</v>
      </c>
      <c r="C372" s="38" t="s">
        <v>1055</v>
      </c>
      <c r="D372" s="38" t="s">
        <v>1084</v>
      </c>
      <c r="E372" s="38"/>
      <c r="F372" s="38" t="s">
        <v>1085</v>
      </c>
      <c r="G372" s="39" t="s">
        <v>1086</v>
      </c>
      <c r="H372" s="38" t="s">
        <v>1074</v>
      </c>
      <c r="I372" s="29"/>
      <c r="J372" s="29"/>
      <c r="K372" s="29"/>
    </row>
    <row r="373" customFormat="false" ht="40.5" hidden="false" customHeight="true" outlineLevel="0" collapsed="false">
      <c r="A373" s="37" t="n">
        <v>350</v>
      </c>
      <c r="B373" s="38" t="s">
        <v>67</v>
      </c>
      <c r="C373" s="38" t="s">
        <v>1055</v>
      </c>
      <c r="D373" s="38" t="s">
        <v>1087</v>
      </c>
      <c r="E373" s="38"/>
      <c r="F373" s="38" t="s">
        <v>1088</v>
      </c>
      <c r="G373" s="39" t="s">
        <v>1089</v>
      </c>
      <c r="H373" s="38" t="s">
        <v>128</v>
      </c>
      <c r="I373" s="29"/>
      <c r="J373" s="29"/>
      <c r="K373" s="29"/>
    </row>
    <row r="374" customFormat="false" ht="40.5" hidden="false" customHeight="true" outlineLevel="0" collapsed="false">
      <c r="A374" s="37" t="n">
        <v>351</v>
      </c>
      <c r="B374" s="38" t="s">
        <v>67</v>
      </c>
      <c r="C374" s="38" t="s">
        <v>1055</v>
      </c>
      <c r="D374" s="38" t="s">
        <v>1090</v>
      </c>
      <c r="E374" s="38" t="s">
        <v>760</v>
      </c>
      <c r="F374" s="38" t="s">
        <v>1091</v>
      </c>
      <c r="G374" s="39" t="s">
        <v>1092</v>
      </c>
      <c r="H374" s="38"/>
      <c r="I374" s="29"/>
      <c r="J374" s="29"/>
      <c r="K374" s="29"/>
    </row>
    <row r="375" customFormat="false" ht="54" hidden="false" customHeight="true" outlineLevel="0" collapsed="false">
      <c r="A375" s="37" t="n">
        <v>352</v>
      </c>
      <c r="B375" s="38" t="s">
        <v>67</v>
      </c>
      <c r="C375" s="38" t="s">
        <v>1055</v>
      </c>
      <c r="D375" s="38" t="s">
        <v>1093</v>
      </c>
      <c r="E375" s="38" t="s">
        <v>760</v>
      </c>
      <c r="F375" s="38" t="s">
        <v>1094</v>
      </c>
      <c r="G375" s="39" t="s">
        <v>1095</v>
      </c>
      <c r="H375" s="38"/>
      <c r="I375" s="29"/>
      <c r="J375" s="29"/>
      <c r="K375" s="29"/>
    </row>
    <row r="376" customFormat="false" ht="40.5" hidden="false" customHeight="true" outlineLevel="0" collapsed="false">
      <c r="A376" s="37" t="n">
        <v>353</v>
      </c>
      <c r="B376" s="38" t="s">
        <v>67</v>
      </c>
      <c r="C376" s="38" t="s">
        <v>1055</v>
      </c>
      <c r="D376" s="38" t="s">
        <v>1096</v>
      </c>
      <c r="E376" s="38" t="s">
        <v>760</v>
      </c>
      <c r="F376" s="38" t="s">
        <v>1097</v>
      </c>
      <c r="G376" s="39" t="s">
        <v>1098</v>
      </c>
      <c r="H376" s="38"/>
      <c r="I376" s="29"/>
      <c r="J376" s="29"/>
      <c r="K376" s="29"/>
    </row>
    <row r="377" customFormat="false" ht="40.5" hidden="false" customHeight="true" outlineLevel="0" collapsed="false">
      <c r="A377" s="37" t="n">
        <v>354</v>
      </c>
      <c r="B377" s="38" t="s">
        <v>67</v>
      </c>
      <c r="C377" s="38" t="s">
        <v>1055</v>
      </c>
      <c r="D377" s="38" t="s">
        <v>1090</v>
      </c>
      <c r="E377" s="38" t="s">
        <v>888</v>
      </c>
      <c r="F377" s="38" t="s">
        <v>1099</v>
      </c>
      <c r="G377" s="39" t="s">
        <v>1100</v>
      </c>
      <c r="H377" s="38"/>
      <c r="I377" s="29"/>
      <c r="J377" s="29"/>
      <c r="K377" s="29"/>
    </row>
    <row r="378" customFormat="false" ht="40.5" hidden="false" customHeight="true" outlineLevel="0" collapsed="false">
      <c r="A378" s="37" t="n">
        <v>355</v>
      </c>
      <c r="B378" s="38" t="s">
        <v>67</v>
      </c>
      <c r="C378" s="38" t="s">
        <v>1055</v>
      </c>
      <c r="D378" s="38" t="s">
        <v>1093</v>
      </c>
      <c r="E378" s="38" t="s">
        <v>888</v>
      </c>
      <c r="F378" s="38" t="s">
        <v>1101</v>
      </c>
      <c r="G378" s="39" t="s">
        <v>1102</v>
      </c>
      <c r="H378" s="38"/>
      <c r="I378" s="29"/>
      <c r="J378" s="29"/>
      <c r="K378" s="29"/>
    </row>
    <row r="379" customFormat="false" ht="40.5" hidden="false" customHeight="true" outlineLevel="0" collapsed="false">
      <c r="A379" s="37" t="n">
        <v>356</v>
      </c>
      <c r="B379" s="38" t="s">
        <v>67</v>
      </c>
      <c r="C379" s="38" t="s">
        <v>1055</v>
      </c>
      <c r="D379" s="38" t="s">
        <v>1096</v>
      </c>
      <c r="E379" s="38" t="s">
        <v>888</v>
      </c>
      <c r="F379" s="38" t="s">
        <v>1103</v>
      </c>
      <c r="G379" s="39" t="s">
        <v>1104</v>
      </c>
      <c r="H379" s="38"/>
      <c r="I379" s="29"/>
      <c r="J379" s="29"/>
      <c r="K379" s="29"/>
    </row>
    <row r="380" customFormat="false" ht="40.5" hidden="false" customHeight="true" outlineLevel="0" collapsed="false">
      <c r="A380" s="37" t="n">
        <v>357</v>
      </c>
      <c r="B380" s="38" t="s">
        <v>67</v>
      </c>
      <c r="C380" s="38" t="s">
        <v>1055</v>
      </c>
      <c r="D380" s="38" t="s">
        <v>1090</v>
      </c>
      <c r="E380" s="38" t="s">
        <v>891</v>
      </c>
      <c r="F380" s="38" t="s">
        <v>1105</v>
      </c>
      <c r="G380" s="39" t="s">
        <v>1106</v>
      </c>
      <c r="H380" s="38"/>
      <c r="I380" s="29"/>
      <c r="J380" s="29"/>
      <c r="K380" s="29"/>
    </row>
    <row r="381" customFormat="false" ht="54" hidden="false" customHeight="true" outlineLevel="0" collapsed="false">
      <c r="A381" s="37" t="n">
        <v>358</v>
      </c>
      <c r="B381" s="38" t="s">
        <v>67</v>
      </c>
      <c r="C381" s="38" t="s">
        <v>1055</v>
      </c>
      <c r="D381" s="38" t="s">
        <v>1093</v>
      </c>
      <c r="E381" s="38" t="s">
        <v>891</v>
      </c>
      <c r="F381" s="38" t="s">
        <v>1107</v>
      </c>
      <c r="G381" s="39" t="s">
        <v>1108</v>
      </c>
      <c r="H381" s="38"/>
      <c r="I381" s="29"/>
      <c r="J381" s="29"/>
      <c r="K381" s="29"/>
    </row>
    <row r="382" customFormat="false" ht="40.5" hidden="false" customHeight="true" outlineLevel="0" collapsed="false">
      <c r="A382" s="37" t="n">
        <v>359</v>
      </c>
      <c r="B382" s="38" t="s">
        <v>67</v>
      </c>
      <c r="C382" s="38" t="s">
        <v>1055</v>
      </c>
      <c r="D382" s="38" t="s">
        <v>1096</v>
      </c>
      <c r="E382" s="38" t="s">
        <v>891</v>
      </c>
      <c r="F382" s="38" t="s">
        <v>1109</v>
      </c>
      <c r="G382" s="39" t="s">
        <v>1110</v>
      </c>
      <c r="H382" s="38"/>
      <c r="I382" s="29"/>
      <c r="J382" s="29"/>
      <c r="K382" s="29"/>
    </row>
    <row r="383" customFormat="false" ht="54" hidden="false" customHeight="true" outlineLevel="0" collapsed="false">
      <c r="A383" s="37" t="n">
        <v>360</v>
      </c>
      <c r="B383" s="38" t="s">
        <v>67</v>
      </c>
      <c r="C383" s="38" t="s">
        <v>1055</v>
      </c>
      <c r="D383" s="38" t="s">
        <v>1090</v>
      </c>
      <c r="E383" s="38" t="s">
        <v>894</v>
      </c>
      <c r="F383" s="38" t="s">
        <v>1111</v>
      </c>
      <c r="G383" s="39" t="s">
        <v>1112</v>
      </c>
      <c r="H383" s="38"/>
      <c r="I383" s="29"/>
      <c r="J383" s="29"/>
      <c r="K383" s="29"/>
    </row>
    <row r="384" customFormat="false" ht="40.5" hidden="false" customHeight="true" outlineLevel="0" collapsed="false">
      <c r="A384" s="37" t="n">
        <v>361</v>
      </c>
      <c r="B384" s="38" t="s">
        <v>67</v>
      </c>
      <c r="C384" s="38" t="s">
        <v>1055</v>
      </c>
      <c r="D384" s="38" t="s">
        <v>1093</v>
      </c>
      <c r="E384" s="38" t="s">
        <v>894</v>
      </c>
      <c r="F384" s="38" t="s">
        <v>1113</v>
      </c>
      <c r="G384" s="39" t="s">
        <v>1114</v>
      </c>
      <c r="H384" s="38"/>
      <c r="I384" s="29"/>
      <c r="J384" s="29"/>
      <c r="K384" s="29"/>
    </row>
    <row r="385" customFormat="false" ht="40.5" hidden="false" customHeight="true" outlineLevel="0" collapsed="false">
      <c r="A385" s="37" t="n">
        <v>362</v>
      </c>
      <c r="B385" s="38" t="s">
        <v>67</v>
      </c>
      <c r="C385" s="38" t="s">
        <v>1055</v>
      </c>
      <c r="D385" s="38" t="s">
        <v>1096</v>
      </c>
      <c r="E385" s="38" t="s">
        <v>894</v>
      </c>
      <c r="F385" s="38" t="s">
        <v>1115</v>
      </c>
      <c r="G385" s="39" t="s">
        <v>1116</v>
      </c>
      <c r="H385" s="38"/>
      <c r="I385" s="29"/>
      <c r="J385" s="29"/>
      <c r="K385" s="29"/>
    </row>
    <row r="386" customFormat="false" ht="40.5" hidden="false" customHeight="true" outlineLevel="0" collapsed="false">
      <c r="A386" s="37" t="n">
        <v>363</v>
      </c>
      <c r="B386" s="38" t="s">
        <v>67</v>
      </c>
      <c r="C386" s="38" t="s">
        <v>1117</v>
      </c>
      <c r="D386" s="38" t="s">
        <v>753</v>
      </c>
      <c r="E386" s="38" t="s">
        <v>754</v>
      </c>
      <c r="F386" s="38" t="s">
        <v>1118</v>
      </c>
      <c r="G386" s="39" t="s">
        <v>380</v>
      </c>
      <c r="H386" s="38"/>
      <c r="I386" s="29"/>
      <c r="J386" s="29"/>
      <c r="K386" s="29"/>
    </row>
    <row r="387" customFormat="false" ht="40.5" hidden="false" customHeight="true" outlineLevel="0" collapsed="false">
      <c r="A387" s="37" t="n">
        <v>364</v>
      </c>
      <c r="B387" s="38" t="s">
        <v>67</v>
      </c>
      <c r="C387" s="38" t="s">
        <v>1117</v>
      </c>
      <c r="D387" s="38" t="s">
        <v>753</v>
      </c>
      <c r="E387" s="38" t="s">
        <v>755</v>
      </c>
      <c r="F387" s="38" t="s">
        <v>1119</v>
      </c>
      <c r="G387" s="39" t="s">
        <v>1120</v>
      </c>
      <c r="H387" s="38"/>
      <c r="I387" s="29"/>
      <c r="J387" s="29"/>
      <c r="K387" s="29"/>
    </row>
    <row r="388" customFormat="false" ht="40.5" hidden="false" customHeight="true" outlineLevel="0" collapsed="false">
      <c r="A388" s="37" t="n">
        <v>365</v>
      </c>
      <c r="B388" s="38" t="s">
        <v>67</v>
      </c>
      <c r="C388" s="38" t="s">
        <v>1117</v>
      </c>
      <c r="D388" s="38" t="s">
        <v>312</v>
      </c>
      <c r="E388" s="38" t="s">
        <v>1025</v>
      </c>
      <c r="F388" s="38" t="s">
        <v>1121</v>
      </c>
      <c r="G388" s="39" t="s">
        <v>1122</v>
      </c>
      <c r="H388" s="38"/>
      <c r="I388" s="29"/>
      <c r="J388" s="29"/>
      <c r="K388" s="29"/>
    </row>
    <row r="389" customFormat="false" ht="54" hidden="false" customHeight="true" outlineLevel="0" collapsed="false">
      <c r="A389" s="30" t="s">
        <v>1123</v>
      </c>
      <c r="B389" s="31" t="s">
        <v>67</v>
      </c>
      <c r="C389" s="31" t="s">
        <v>1117</v>
      </c>
      <c r="D389" s="31" t="s">
        <v>316</v>
      </c>
      <c r="E389" s="31" t="s">
        <v>1124</v>
      </c>
      <c r="F389" s="31" t="s">
        <v>1125</v>
      </c>
      <c r="G389" s="32" t="s">
        <v>1126</v>
      </c>
      <c r="H389" s="31" t="s">
        <v>1127</v>
      </c>
      <c r="I389" s="31"/>
      <c r="J389" s="31"/>
      <c r="K389" s="29"/>
    </row>
    <row r="390" customFormat="false" ht="40.5" hidden="false" customHeight="true" outlineLevel="0" collapsed="false">
      <c r="A390" s="37" t="n">
        <v>366</v>
      </c>
      <c r="B390" s="38" t="s">
        <v>67</v>
      </c>
      <c r="C390" s="38" t="s">
        <v>1117</v>
      </c>
      <c r="D390" s="38" t="s">
        <v>1128</v>
      </c>
      <c r="E390" s="38" t="s">
        <v>754</v>
      </c>
      <c r="F390" s="38" t="s">
        <v>1129</v>
      </c>
      <c r="G390" s="39" t="s">
        <v>1130</v>
      </c>
      <c r="H390" s="38" t="s">
        <v>1131</v>
      </c>
      <c r="I390" s="29"/>
      <c r="J390" s="29"/>
      <c r="K390" s="29"/>
    </row>
    <row r="391" customFormat="false" ht="40.5" hidden="false" customHeight="true" outlineLevel="0" collapsed="false">
      <c r="A391" s="37" t="n">
        <v>367</v>
      </c>
      <c r="B391" s="38" t="s">
        <v>67</v>
      </c>
      <c r="C391" s="38" t="s">
        <v>1117</v>
      </c>
      <c r="D391" s="38" t="s">
        <v>1128</v>
      </c>
      <c r="E391" s="38" t="s">
        <v>755</v>
      </c>
      <c r="F391" s="38" t="s">
        <v>1132</v>
      </c>
      <c r="G391" s="39" t="s">
        <v>1133</v>
      </c>
      <c r="H391" s="38" t="s">
        <v>1131</v>
      </c>
      <c r="I391" s="29"/>
      <c r="J391" s="29"/>
      <c r="K391" s="29"/>
    </row>
    <row r="392" customFormat="false" ht="40.5" hidden="false" customHeight="true" outlineLevel="0" collapsed="false">
      <c r="A392" s="37" t="n">
        <v>368</v>
      </c>
      <c r="B392" s="38" t="s">
        <v>67</v>
      </c>
      <c r="C392" s="38" t="s">
        <v>1117</v>
      </c>
      <c r="D392" s="38" t="s">
        <v>1134</v>
      </c>
      <c r="E392" s="38"/>
      <c r="F392" s="38" t="s">
        <v>1135</v>
      </c>
      <c r="G392" s="40" t="s">
        <v>1135</v>
      </c>
      <c r="H392" s="38" t="s">
        <v>1136</v>
      </c>
      <c r="I392" s="29"/>
      <c r="J392" s="29"/>
      <c r="K392" s="29"/>
    </row>
    <row r="393" customFormat="false" ht="40.5" hidden="false" customHeight="true" outlineLevel="0" collapsed="false">
      <c r="A393" s="37" t="n">
        <v>369</v>
      </c>
      <c r="B393" s="38" t="s">
        <v>67</v>
      </c>
      <c r="C393" s="38" t="s">
        <v>1117</v>
      </c>
      <c r="D393" s="38" t="s">
        <v>1137</v>
      </c>
      <c r="E393" s="38"/>
      <c r="F393" s="38" t="s">
        <v>1138</v>
      </c>
      <c r="G393" s="39" t="s">
        <v>1139</v>
      </c>
      <c r="H393" s="38"/>
      <c r="I393" s="29"/>
      <c r="J393" s="29"/>
      <c r="K393" s="29"/>
    </row>
    <row r="394" customFormat="false" ht="40.5" hidden="false" customHeight="true" outlineLevel="0" collapsed="false">
      <c r="A394" s="37" t="n">
        <v>370</v>
      </c>
      <c r="B394" s="38" t="s">
        <v>67</v>
      </c>
      <c r="C394" s="38" t="s">
        <v>1117</v>
      </c>
      <c r="D394" s="38" t="s">
        <v>1140</v>
      </c>
      <c r="E394" s="38"/>
      <c r="F394" s="38" t="s">
        <v>1141</v>
      </c>
      <c r="G394" s="39" t="s">
        <v>1142</v>
      </c>
      <c r="H394" s="38"/>
      <c r="I394" s="29"/>
      <c r="J394" s="29"/>
      <c r="K394" s="29"/>
    </row>
    <row r="395" customFormat="false" ht="40.5" hidden="false" customHeight="true" outlineLevel="0" collapsed="false">
      <c r="A395" s="37" t="n">
        <v>371</v>
      </c>
      <c r="B395" s="38" t="s">
        <v>67</v>
      </c>
      <c r="C395" s="38" t="s">
        <v>1117</v>
      </c>
      <c r="D395" s="38" t="s">
        <v>1143</v>
      </c>
      <c r="E395" s="38"/>
      <c r="F395" s="38" t="s">
        <v>276</v>
      </c>
      <c r="G395" s="39" t="s">
        <v>1144</v>
      </c>
      <c r="H395" s="38"/>
      <c r="I395" s="29"/>
      <c r="J395" s="29"/>
      <c r="K395" s="29"/>
    </row>
    <row r="396" customFormat="false" ht="40.5" hidden="false" customHeight="true" outlineLevel="0" collapsed="false">
      <c r="A396" s="37" t="n">
        <v>372</v>
      </c>
      <c r="B396" s="38" t="s">
        <v>67</v>
      </c>
      <c r="C396" s="38" t="s">
        <v>1117</v>
      </c>
      <c r="D396" s="38" t="s">
        <v>1145</v>
      </c>
      <c r="E396" s="38"/>
      <c r="F396" s="38" t="s">
        <v>1146</v>
      </c>
      <c r="G396" s="39" t="s">
        <v>1147</v>
      </c>
      <c r="H396" s="38"/>
      <c r="I396" s="29"/>
      <c r="J396" s="29"/>
      <c r="K396" s="29"/>
    </row>
    <row r="397" customFormat="false" ht="40.5" hidden="false" customHeight="true" outlineLevel="0" collapsed="false">
      <c r="A397" s="37" t="n">
        <v>373</v>
      </c>
      <c r="B397" s="38" t="s">
        <v>67</v>
      </c>
      <c r="C397" s="38" t="s">
        <v>1117</v>
      </c>
      <c r="D397" s="38" t="s">
        <v>1148</v>
      </c>
      <c r="E397" s="38"/>
      <c r="F397" s="38" t="s">
        <v>1149</v>
      </c>
      <c r="G397" s="39" t="s">
        <v>1150</v>
      </c>
      <c r="H397" s="38"/>
      <c r="I397" s="29"/>
      <c r="J397" s="29"/>
      <c r="K397" s="29"/>
    </row>
    <row r="398" customFormat="false" ht="40.5" hidden="false" customHeight="true" outlineLevel="0" collapsed="false">
      <c r="A398" s="37" t="n">
        <v>374</v>
      </c>
      <c r="B398" s="38" t="s">
        <v>67</v>
      </c>
      <c r="C398" s="38" t="s">
        <v>1117</v>
      </c>
      <c r="D398" s="38" t="s">
        <v>1151</v>
      </c>
      <c r="E398" s="38"/>
      <c r="F398" s="38" t="s">
        <v>279</v>
      </c>
      <c r="G398" s="39" t="s">
        <v>1152</v>
      </c>
      <c r="H398" s="38"/>
      <c r="I398" s="29"/>
      <c r="J398" s="29"/>
      <c r="K398" s="29"/>
    </row>
    <row r="399" customFormat="false" ht="40.5" hidden="false" customHeight="true" outlineLevel="0" collapsed="false">
      <c r="A399" s="37" t="n">
        <v>375</v>
      </c>
      <c r="B399" s="38" t="s">
        <v>67</v>
      </c>
      <c r="C399" s="38" t="s">
        <v>1117</v>
      </c>
      <c r="D399" s="38" t="s">
        <v>1153</v>
      </c>
      <c r="E399" s="38"/>
      <c r="F399" s="38" t="s">
        <v>1154</v>
      </c>
      <c r="G399" s="39" t="s">
        <v>1155</v>
      </c>
      <c r="H399" s="38"/>
      <c r="I399" s="29"/>
      <c r="J399" s="29"/>
      <c r="K399" s="29"/>
    </row>
    <row r="400" customFormat="false" ht="54" hidden="false" customHeight="true" outlineLevel="0" collapsed="false">
      <c r="A400" s="37" t="n">
        <v>376</v>
      </c>
      <c r="B400" s="38" t="s">
        <v>67</v>
      </c>
      <c r="C400" s="38" t="s">
        <v>1117</v>
      </c>
      <c r="D400" s="38" t="s">
        <v>1156</v>
      </c>
      <c r="E400" s="38"/>
      <c r="F400" s="38" t="s">
        <v>1157</v>
      </c>
      <c r="G400" s="39" t="s">
        <v>1158</v>
      </c>
      <c r="H400" s="38"/>
      <c r="I400" s="29"/>
      <c r="J400" s="29"/>
      <c r="K400" s="29"/>
    </row>
    <row r="401" customFormat="false" ht="40.5" hidden="false" customHeight="true" outlineLevel="0" collapsed="false">
      <c r="A401" s="37" t="n">
        <v>377</v>
      </c>
      <c r="B401" s="38" t="s">
        <v>67</v>
      </c>
      <c r="C401" s="38" t="s">
        <v>1117</v>
      </c>
      <c r="D401" s="38" t="s">
        <v>1159</v>
      </c>
      <c r="E401" s="38"/>
      <c r="F401" s="38" t="s">
        <v>282</v>
      </c>
      <c r="G401" s="39" t="s">
        <v>1160</v>
      </c>
      <c r="H401" s="38"/>
      <c r="I401" s="29"/>
      <c r="J401" s="29"/>
      <c r="K401" s="29"/>
    </row>
    <row r="402" customFormat="false" ht="40.5" hidden="false" customHeight="true" outlineLevel="0" collapsed="false">
      <c r="A402" s="37" t="n">
        <v>378</v>
      </c>
      <c r="B402" s="38" t="s">
        <v>67</v>
      </c>
      <c r="C402" s="38" t="s">
        <v>1117</v>
      </c>
      <c r="D402" s="38" t="s">
        <v>1161</v>
      </c>
      <c r="E402" s="38"/>
      <c r="F402" s="38" t="s">
        <v>1162</v>
      </c>
      <c r="G402" s="39" t="s">
        <v>1163</v>
      </c>
      <c r="H402" s="38"/>
      <c r="I402" s="29"/>
      <c r="J402" s="29"/>
      <c r="K402" s="29"/>
    </row>
    <row r="403" customFormat="false" ht="40.5" hidden="false" customHeight="true" outlineLevel="0" collapsed="false">
      <c r="A403" s="37" t="n">
        <v>379</v>
      </c>
      <c r="B403" s="38" t="s">
        <v>67</v>
      </c>
      <c r="C403" s="38" t="s">
        <v>1117</v>
      </c>
      <c r="D403" s="38" t="s">
        <v>1164</v>
      </c>
      <c r="E403" s="38"/>
      <c r="F403" s="38" t="s">
        <v>1165</v>
      </c>
      <c r="G403" s="39" t="s">
        <v>1166</v>
      </c>
      <c r="H403" s="38"/>
      <c r="I403" s="29"/>
      <c r="J403" s="29"/>
      <c r="K403" s="29"/>
    </row>
    <row r="404" customFormat="false" ht="40.5" hidden="false" customHeight="true" outlineLevel="0" collapsed="false">
      <c r="A404" s="37" t="n">
        <v>380</v>
      </c>
      <c r="B404" s="38" t="s">
        <v>67</v>
      </c>
      <c r="C404" s="38" t="s">
        <v>1117</v>
      </c>
      <c r="D404" s="38" t="s">
        <v>1167</v>
      </c>
      <c r="E404" s="38"/>
      <c r="F404" s="38" t="s">
        <v>1072</v>
      </c>
      <c r="G404" s="39" t="s">
        <v>1073</v>
      </c>
      <c r="H404" s="38"/>
      <c r="I404" s="29"/>
      <c r="J404" s="29"/>
      <c r="K404" s="29"/>
    </row>
    <row r="405" customFormat="false" ht="40.5" hidden="false" customHeight="true" outlineLevel="0" collapsed="false">
      <c r="A405" s="37" t="n">
        <v>381</v>
      </c>
      <c r="B405" s="38" t="s">
        <v>67</v>
      </c>
      <c r="C405" s="38" t="s">
        <v>1117</v>
      </c>
      <c r="D405" s="38" t="s">
        <v>1168</v>
      </c>
      <c r="E405" s="38"/>
      <c r="F405" s="38" t="s">
        <v>1169</v>
      </c>
      <c r="G405" s="39" t="s">
        <v>1170</v>
      </c>
      <c r="H405" s="38"/>
      <c r="I405" s="29"/>
      <c r="J405" s="29"/>
      <c r="K405" s="29"/>
    </row>
    <row r="406" customFormat="false" ht="40.5" hidden="false" customHeight="true" outlineLevel="0" collapsed="false">
      <c r="A406" s="37" t="n">
        <v>382</v>
      </c>
      <c r="B406" s="38" t="s">
        <v>67</v>
      </c>
      <c r="C406" s="38" t="s">
        <v>1117</v>
      </c>
      <c r="D406" s="38" t="s">
        <v>1171</v>
      </c>
      <c r="E406" s="38"/>
      <c r="F406" s="38" t="s">
        <v>1172</v>
      </c>
      <c r="G406" s="39" t="s">
        <v>1173</v>
      </c>
      <c r="H406" s="38"/>
      <c r="I406" s="29"/>
      <c r="J406" s="29"/>
      <c r="K406" s="29"/>
    </row>
    <row r="407" customFormat="false" ht="40.5" hidden="false" customHeight="true" outlineLevel="0" collapsed="false">
      <c r="A407" s="37" t="n">
        <v>383</v>
      </c>
      <c r="B407" s="38" t="s">
        <v>67</v>
      </c>
      <c r="C407" s="38" t="s">
        <v>1117</v>
      </c>
      <c r="D407" s="38" t="s">
        <v>1174</v>
      </c>
      <c r="E407" s="38"/>
      <c r="F407" s="38" t="s">
        <v>1076</v>
      </c>
      <c r="G407" s="39" t="s">
        <v>1077</v>
      </c>
      <c r="H407" s="38"/>
      <c r="I407" s="29"/>
      <c r="J407" s="29"/>
      <c r="K407" s="29"/>
    </row>
    <row r="408" customFormat="false" ht="40.5" hidden="false" customHeight="true" outlineLevel="0" collapsed="false">
      <c r="A408" s="37" t="n">
        <v>384</v>
      </c>
      <c r="B408" s="38" t="s">
        <v>67</v>
      </c>
      <c r="C408" s="38" t="s">
        <v>1117</v>
      </c>
      <c r="D408" s="38" t="s">
        <v>204</v>
      </c>
      <c r="E408" s="38"/>
      <c r="F408" s="38" t="s">
        <v>1175</v>
      </c>
      <c r="G408" s="39" t="s">
        <v>1176</v>
      </c>
      <c r="H408" s="38" t="s">
        <v>1177</v>
      </c>
      <c r="I408" s="29"/>
      <c r="J408" s="29"/>
      <c r="K408" s="29"/>
    </row>
    <row r="409" customFormat="false" ht="40.5" hidden="false" customHeight="true" outlineLevel="0" collapsed="false">
      <c r="A409" s="37" t="n">
        <v>385</v>
      </c>
      <c r="B409" s="38" t="s">
        <v>67</v>
      </c>
      <c r="C409" s="38" t="s">
        <v>1117</v>
      </c>
      <c r="D409" s="38" t="s">
        <v>1178</v>
      </c>
      <c r="E409" s="38"/>
      <c r="F409" s="38" t="s">
        <v>1179</v>
      </c>
      <c r="G409" s="39" t="s">
        <v>1180</v>
      </c>
      <c r="H409" s="38"/>
      <c r="I409" s="29"/>
      <c r="J409" s="29"/>
      <c r="K409" s="29"/>
    </row>
    <row r="410" customFormat="false" ht="67.5" hidden="false" customHeight="true" outlineLevel="0" collapsed="false">
      <c r="A410" s="37" t="n">
        <v>386</v>
      </c>
      <c r="B410" s="38" t="s">
        <v>67</v>
      </c>
      <c r="C410" s="38" t="s">
        <v>1117</v>
      </c>
      <c r="D410" s="38" t="s">
        <v>1181</v>
      </c>
      <c r="E410" s="38"/>
      <c r="F410" s="38" t="s">
        <v>1182</v>
      </c>
      <c r="G410" s="39" t="s">
        <v>1183</v>
      </c>
      <c r="H410" s="38"/>
      <c r="I410" s="29"/>
      <c r="J410" s="29"/>
      <c r="K410" s="29"/>
    </row>
    <row r="411" customFormat="false" ht="40.5" hidden="false" customHeight="true" outlineLevel="0" collapsed="false">
      <c r="A411" s="37" t="n">
        <v>387</v>
      </c>
      <c r="B411" s="38" t="s">
        <v>67</v>
      </c>
      <c r="C411" s="38" t="s">
        <v>1117</v>
      </c>
      <c r="D411" s="38" t="s">
        <v>1184</v>
      </c>
      <c r="E411" s="38"/>
      <c r="F411" s="38" t="s">
        <v>1185</v>
      </c>
      <c r="G411" s="38" t="s">
        <v>1186</v>
      </c>
      <c r="H411" s="38"/>
      <c r="I411" s="29"/>
      <c r="J411" s="29"/>
      <c r="K411" s="29"/>
    </row>
    <row r="412" customFormat="false" ht="40.5" hidden="false" customHeight="true" outlineLevel="0" collapsed="false">
      <c r="A412" s="37" t="n">
        <v>388</v>
      </c>
      <c r="B412" s="38" t="s">
        <v>67</v>
      </c>
      <c r="C412" s="38" t="s">
        <v>1117</v>
      </c>
      <c r="D412" s="38" t="s">
        <v>1187</v>
      </c>
      <c r="E412" s="38"/>
      <c r="F412" s="38" t="s">
        <v>1188</v>
      </c>
      <c r="G412" s="38" t="s">
        <v>1189</v>
      </c>
      <c r="H412" s="38"/>
      <c r="I412" s="29"/>
      <c r="J412" s="29"/>
      <c r="K412" s="29"/>
    </row>
    <row r="413" customFormat="false" ht="40.5" hidden="false" customHeight="true" outlineLevel="0" collapsed="false">
      <c r="A413" s="37" t="n">
        <v>389</v>
      </c>
      <c r="B413" s="38" t="s">
        <v>67</v>
      </c>
      <c r="C413" s="38" t="s">
        <v>1117</v>
      </c>
      <c r="D413" s="38" t="s">
        <v>1190</v>
      </c>
      <c r="E413" s="38"/>
      <c r="F413" s="38" t="s">
        <v>1191</v>
      </c>
      <c r="G413" s="38" t="s">
        <v>1192</v>
      </c>
      <c r="H413" s="38"/>
      <c r="I413" s="29"/>
      <c r="J413" s="29"/>
      <c r="K413" s="29"/>
    </row>
    <row r="414" customFormat="false" ht="40.5" hidden="false" customHeight="true" outlineLevel="0" collapsed="false">
      <c r="A414" s="37" t="n">
        <v>390</v>
      </c>
      <c r="B414" s="38" t="s">
        <v>67</v>
      </c>
      <c r="C414" s="38" t="s">
        <v>1193</v>
      </c>
      <c r="D414" s="38" t="s">
        <v>753</v>
      </c>
      <c r="E414" s="38"/>
      <c r="F414" s="38" t="s">
        <v>1194</v>
      </c>
      <c r="G414" s="39" t="s">
        <v>1195</v>
      </c>
      <c r="H414" s="38"/>
      <c r="I414" s="29"/>
      <c r="J414" s="29"/>
      <c r="K414" s="29"/>
    </row>
    <row r="415" customFormat="false" ht="40.5" hidden="false" customHeight="true" outlineLevel="0" collapsed="false">
      <c r="A415" s="37" t="n">
        <v>391</v>
      </c>
      <c r="B415" s="38" t="s">
        <v>67</v>
      </c>
      <c r="C415" s="38" t="s">
        <v>1193</v>
      </c>
      <c r="D415" s="38" t="s">
        <v>312</v>
      </c>
      <c r="E415" s="38"/>
      <c r="F415" s="38" t="s">
        <v>1196</v>
      </c>
      <c r="G415" s="39" t="s">
        <v>1197</v>
      </c>
      <c r="H415" s="38"/>
      <c r="I415" s="29"/>
      <c r="J415" s="29"/>
      <c r="K415" s="29"/>
    </row>
    <row r="416" customFormat="false" ht="54" hidden="false" customHeight="true" outlineLevel="0" collapsed="false">
      <c r="A416" s="37" t="n">
        <v>392</v>
      </c>
      <c r="B416" s="38" t="s">
        <v>67</v>
      </c>
      <c r="C416" s="38" t="s">
        <v>1193</v>
      </c>
      <c r="D416" s="38" t="s">
        <v>1198</v>
      </c>
      <c r="E416" s="38"/>
      <c r="F416" s="38" t="s">
        <v>1199</v>
      </c>
      <c r="G416" s="39" t="s">
        <v>1200</v>
      </c>
      <c r="H416" s="38"/>
      <c r="I416" s="29"/>
      <c r="J416" s="29"/>
      <c r="K416" s="29"/>
    </row>
    <row r="417" customFormat="false" ht="40.5" hidden="false" customHeight="true" outlineLevel="0" collapsed="false">
      <c r="A417" s="37" t="n">
        <v>393</v>
      </c>
      <c r="B417" s="38" t="s">
        <v>67</v>
      </c>
      <c r="C417" s="38" t="s">
        <v>1193</v>
      </c>
      <c r="D417" s="38" t="s">
        <v>1201</v>
      </c>
      <c r="E417" s="38"/>
      <c r="F417" s="38" t="s">
        <v>1202</v>
      </c>
      <c r="G417" s="39" t="s">
        <v>1203</v>
      </c>
      <c r="H417" s="38"/>
      <c r="I417" s="29"/>
      <c r="J417" s="29"/>
      <c r="K417" s="29"/>
    </row>
    <row r="418" customFormat="false" ht="40.5" hidden="false" customHeight="true" outlineLevel="0" collapsed="false">
      <c r="A418" s="37" t="n">
        <v>394</v>
      </c>
      <c r="B418" s="38" t="s">
        <v>67</v>
      </c>
      <c r="C418" s="38" t="s">
        <v>1193</v>
      </c>
      <c r="D418" s="38" t="s">
        <v>1204</v>
      </c>
      <c r="E418" s="38"/>
      <c r="F418" s="38" t="s">
        <v>1205</v>
      </c>
      <c r="G418" s="38" t="s">
        <v>1206</v>
      </c>
      <c r="H418" s="38"/>
      <c r="I418" s="29"/>
      <c r="J418" s="29"/>
      <c r="K418" s="29"/>
    </row>
    <row r="419" customFormat="false" ht="40.5" hidden="false" customHeight="true" outlineLevel="0" collapsed="false">
      <c r="A419" s="37" t="n">
        <v>395</v>
      </c>
      <c r="B419" s="38" t="s">
        <v>67</v>
      </c>
      <c r="C419" s="38" t="s">
        <v>1193</v>
      </c>
      <c r="D419" s="38" t="s">
        <v>1207</v>
      </c>
      <c r="E419" s="38"/>
      <c r="F419" s="38" t="s">
        <v>1208</v>
      </c>
      <c r="G419" s="39" t="s">
        <v>1209</v>
      </c>
      <c r="H419" s="38"/>
      <c r="I419" s="29"/>
      <c r="J419" s="29"/>
      <c r="K419" s="29"/>
    </row>
    <row r="420" customFormat="false" ht="40.5" hidden="false" customHeight="true" outlineLevel="0" collapsed="false">
      <c r="A420" s="37" t="n">
        <v>396</v>
      </c>
      <c r="B420" s="38" t="s">
        <v>67</v>
      </c>
      <c r="C420" s="38" t="s">
        <v>1193</v>
      </c>
      <c r="D420" s="38" t="s">
        <v>1210</v>
      </c>
      <c r="E420" s="38"/>
      <c r="F420" s="38" t="s">
        <v>1211</v>
      </c>
      <c r="G420" s="39" t="s">
        <v>1212</v>
      </c>
      <c r="H420" s="38"/>
      <c r="I420" s="29"/>
      <c r="J420" s="29"/>
      <c r="K420" s="29"/>
    </row>
    <row r="421" customFormat="false" ht="40.5" hidden="false" customHeight="true" outlineLevel="0" collapsed="false">
      <c r="A421" s="37" t="n">
        <v>397</v>
      </c>
      <c r="B421" s="38" t="s">
        <v>67</v>
      </c>
      <c r="C421" s="38" t="s">
        <v>1193</v>
      </c>
      <c r="D421" s="38" t="s">
        <v>1213</v>
      </c>
      <c r="E421" s="38"/>
      <c r="F421" s="38" t="s">
        <v>1214</v>
      </c>
      <c r="G421" s="39" t="s">
        <v>1215</v>
      </c>
      <c r="H421" s="38"/>
      <c r="I421" s="29"/>
      <c r="J421" s="29"/>
      <c r="K421" s="29"/>
    </row>
    <row r="422" customFormat="false" ht="40.5" hidden="false" customHeight="true" outlineLevel="0" collapsed="false">
      <c r="A422" s="37" t="n">
        <v>398</v>
      </c>
      <c r="B422" s="38" t="s">
        <v>67</v>
      </c>
      <c r="C422" s="38" t="s">
        <v>1193</v>
      </c>
      <c r="D422" s="38" t="s">
        <v>1216</v>
      </c>
      <c r="E422" s="38"/>
      <c r="F422" s="38" t="s">
        <v>1217</v>
      </c>
      <c r="G422" s="39" t="s">
        <v>1218</v>
      </c>
      <c r="H422" s="38"/>
      <c r="I422" s="29"/>
      <c r="J422" s="29"/>
      <c r="K422" s="29"/>
    </row>
    <row r="423" customFormat="false" ht="40.5" hidden="false" customHeight="true" outlineLevel="0" collapsed="false">
      <c r="A423" s="37" t="n">
        <v>399</v>
      </c>
      <c r="B423" s="38" t="s">
        <v>67</v>
      </c>
      <c r="C423" s="38" t="s">
        <v>1193</v>
      </c>
      <c r="D423" s="38" t="s">
        <v>1219</v>
      </c>
      <c r="E423" s="38"/>
      <c r="F423" s="38" t="s">
        <v>1220</v>
      </c>
      <c r="G423" s="39" t="s">
        <v>1221</v>
      </c>
      <c r="H423" s="38"/>
      <c r="I423" s="29"/>
      <c r="J423" s="29"/>
      <c r="K423" s="29"/>
    </row>
    <row r="424" customFormat="false" ht="40.5" hidden="false" customHeight="true" outlineLevel="0" collapsed="false">
      <c r="A424" s="37" t="n">
        <v>400</v>
      </c>
      <c r="B424" s="38" t="s">
        <v>67</v>
      </c>
      <c r="C424" s="38" t="s">
        <v>1193</v>
      </c>
      <c r="D424" s="38" t="s">
        <v>1222</v>
      </c>
      <c r="E424" s="38"/>
      <c r="F424" s="38" t="s">
        <v>1223</v>
      </c>
      <c r="G424" s="39" t="s">
        <v>1224</v>
      </c>
      <c r="H424" s="38"/>
      <c r="I424" s="29"/>
      <c r="J424" s="29"/>
      <c r="K424" s="29"/>
    </row>
    <row r="425" customFormat="false" ht="54" hidden="false" customHeight="true" outlineLevel="0" collapsed="false">
      <c r="A425" s="37" t="n">
        <v>401</v>
      </c>
      <c r="B425" s="38" t="s">
        <v>67</v>
      </c>
      <c r="C425" s="38" t="s">
        <v>1225</v>
      </c>
      <c r="D425" s="38" t="s">
        <v>1226</v>
      </c>
      <c r="E425" s="38" t="s">
        <v>760</v>
      </c>
      <c r="F425" s="38" t="s">
        <v>1227</v>
      </c>
      <c r="G425" s="39" t="s">
        <v>1228</v>
      </c>
      <c r="H425" s="38"/>
      <c r="I425" s="29"/>
      <c r="J425" s="29"/>
      <c r="K425" s="29"/>
    </row>
    <row r="426" customFormat="false" ht="67.5" hidden="false" customHeight="true" outlineLevel="0" collapsed="false">
      <c r="A426" s="37" t="n">
        <v>402</v>
      </c>
      <c r="B426" s="38" t="s">
        <v>67</v>
      </c>
      <c r="C426" s="38" t="s">
        <v>1225</v>
      </c>
      <c r="D426" s="38" t="s">
        <v>1226</v>
      </c>
      <c r="E426" s="38" t="s">
        <v>888</v>
      </c>
      <c r="F426" s="38" t="s">
        <v>1229</v>
      </c>
      <c r="G426" s="39" t="s">
        <v>1230</v>
      </c>
      <c r="H426" s="38"/>
      <c r="I426" s="29"/>
      <c r="J426" s="29"/>
      <c r="K426" s="29"/>
    </row>
    <row r="427" customFormat="false" ht="40.5" hidden="false" customHeight="true" outlineLevel="0" collapsed="false">
      <c r="A427" s="37" t="n">
        <v>403</v>
      </c>
      <c r="B427" s="38" t="s">
        <v>67</v>
      </c>
      <c r="C427" s="38" t="s">
        <v>1225</v>
      </c>
      <c r="D427" s="38" t="s">
        <v>1231</v>
      </c>
      <c r="E427" s="38" t="s">
        <v>891</v>
      </c>
      <c r="F427" s="38" t="s">
        <v>1232</v>
      </c>
      <c r="G427" s="39" t="s">
        <v>1233</v>
      </c>
      <c r="H427" s="38"/>
      <c r="I427" s="29"/>
      <c r="J427" s="29"/>
      <c r="K427" s="29"/>
    </row>
    <row r="428" customFormat="false" ht="40.5" hidden="false" customHeight="true" outlineLevel="0" collapsed="false">
      <c r="A428" s="37" t="n">
        <v>404</v>
      </c>
      <c r="B428" s="38" t="s">
        <v>67</v>
      </c>
      <c r="C428" s="38" t="s">
        <v>1225</v>
      </c>
      <c r="D428" s="38" t="s">
        <v>1234</v>
      </c>
      <c r="E428" s="38" t="s">
        <v>891</v>
      </c>
      <c r="F428" s="38" t="s">
        <v>1235</v>
      </c>
      <c r="G428" s="39" t="s">
        <v>1236</v>
      </c>
      <c r="H428" s="38"/>
      <c r="I428" s="29"/>
      <c r="J428" s="29"/>
      <c r="K428" s="29"/>
    </row>
    <row r="429" customFormat="false" ht="40.5" hidden="false" customHeight="true" outlineLevel="0" collapsed="false">
      <c r="A429" s="37" t="n">
        <v>405</v>
      </c>
      <c r="B429" s="38" t="s">
        <v>67</v>
      </c>
      <c r="C429" s="38" t="s">
        <v>1225</v>
      </c>
      <c r="D429" s="38" t="s">
        <v>1231</v>
      </c>
      <c r="E429" s="38" t="s">
        <v>894</v>
      </c>
      <c r="F429" s="38" t="s">
        <v>1237</v>
      </c>
      <c r="G429" s="39" t="s">
        <v>1238</v>
      </c>
      <c r="H429" s="38"/>
      <c r="I429" s="29"/>
      <c r="J429" s="29"/>
      <c r="K429" s="29"/>
    </row>
    <row r="430" customFormat="false" ht="40.5" hidden="false" customHeight="true" outlineLevel="0" collapsed="false">
      <c r="A430" s="37" t="n">
        <v>406</v>
      </c>
      <c r="B430" s="38" t="s">
        <v>67</v>
      </c>
      <c r="C430" s="38" t="s">
        <v>1225</v>
      </c>
      <c r="D430" s="38" t="s">
        <v>1234</v>
      </c>
      <c r="E430" s="38" t="s">
        <v>894</v>
      </c>
      <c r="F430" s="38" t="s">
        <v>1239</v>
      </c>
      <c r="G430" s="39" t="s">
        <v>1240</v>
      </c>
      <c r="H430" s="38"/>
      <c r="I430" s="29"/>
      <c r="J430" s="29"/>
      <c r="K430" s="29"/>
    </row>
    <row r="431" customFormat="false" ht="94.5" hidden="false" customHeight="true" outlineLevel="0" collapsed="false">
      <c r="A431" s="37" t="n">
        <v>407</v>
      </c>
      <c r="B431" s="38" t="s">
        <v>67</v>
      </c>
      <c r="C431" s="38" t="s">
        <v>1225</v>
      </c>
      <c r="D431" s="38" t="s">
        <v>1241</v>
      </c>
      <c r="E431" s="38" t="s">
        <v>1242</v>
      </c>
      <c r="F431" s="38" t="s">
        <v>1243</v>
      </c>
      <c r="G431" s="38" t="s">
        <v>1244</v>
      </c>
      <c r="H431" s="38" t="s">
        <v>784</v>
      </c>
      <c r="I431" s="29"/>
      <c r="J431" s="29"/>
      <c r="K431" s="29"/>
    </row>
    <row r="432" customFormat="false" ht="54" hidden="false" customHeight="true" outlineLevel="0" collapsed="false">
      <c r="A432" s="37" t="n">
        <v>408</v>
      </c>
      <c r="B432" s="38" t="s">
        <v>67</v>
      </c>
      <c r="C432" s="38" t="s">
        <v>1225</v>
      </c>
      <c r="D432" s="38" t="s">
        <v>1241</v>
      </c>
      <c r="E432" s="38" t="s">
        <v>1245</v>
      </c>
      <c r="F432" s="38" t="s">
        <v>1246</v>
      </c>
      <c r="G432" s="38" t="s">
        <v>1247</v>
      </c>
      <c r="H432" s="38"/>
      <c r="I432" s="29"/>
      <c r="J432" s="29"/>
      <c r="K432" s="29"/>
    </row>
    <row r="433" customFormat="false" ht="40.5" hidden="false" customHeight="true" outlineLevel="0" collapsed="false">
      <c r="A433" s="37" t="n">
        <v>409</v>
      </c>
      <c r="B433" s="38" t="s">
        <v>67</v>
      </c>
      <c r="C433" s="38" t="s">
        <v>1225</v>
      </c>
      <c r="D433" s="38" t="s">
        <v>1241</v>
      </c>
      <c r="E433" s="38" t="s">
        <v>755</v>
      </c>
      <c r="F433" s="38" t="s">
        <v>1248</v>
      </c>
      <c r="G433" s="38" t="s">
        <v>1249</v>
      </c>
      <c r="H433" s="38"/>
      <c r="I433" s="29"/>
      <c r="J433" s="29"/>
      <c r="K433" s="29"/>
    </row>
    <row r="434" customFormat="false" ht="40.5" hidden="false" customHeight="true" outlineLevel="0" collapsed="false">
      <c r="A434" s="37" t="n">
        <v>410</v>
      </c>
      <c r="B434" s="38" t="s">
        <v>67</v>
      </c>
      <c r="C434" s="38" t="s">
        <v>1225</v>
      </c>
      <c r="D434" s="38" t="s">
        <v>1250</v>
      </c>
      <c r="E434" s="38"/>
      <c r="F434" s="38" t="s">
        <v>1251</v>
      </c>
      <c r="G434" s="39" t="s">
        <v>1252</v>
      </c>
      <c r="H434" s="38"/>
      <c r="I434" s="29"/>
      <c r="J434" s="29"/>
      <c r="K434" s="29"/>
    </row>
    <row r="435" customFormat="false" ht="40.5" hidden="false" customHeight="true" outlineLevel="0" collapsed="false">
      <c r="A435" s="37" t="n">
        <v>411</v>
      </c>
      <c r="B435" s="38" t="s">
        <v>67</v>
      </c>
      <c r="C435" s="38" t="s">
        <v>1225</v>
      </c>
      <c r="D435" s="38" t="s">
        <v>1253</v>
      </c>
      <c r="E435" s="38" t="s">
        <v>754</v>
      </c>
      <c r="F435" s="38" t="s">
        <v>1254</v>
      </c>
      <c r="G435" s="39" t="s">
        <v>1255</v>
      </c>
      <c r="H435" s="38"/>
      <c r="I435" s="29"/>
      <c r="J435" s="29"/>
      <c r="K435" s="29"/>
    </row>
    <row r="436" customFormat="false" ht="40.5" hidden="false" customHeight="true" outlineLevel="0" collapsed="false">
      <c r="A436" s="37" t="n">
        <v>412</v>
      </c>
      <c r="B436" s="38" t="s">
        <v>67</v>
      </c>
      <c r="C436" s="38" t="s">
        <v>1225</v>
      </c>
      <c r="D436" s="38" t="s">
        <v>1253</v>
      </c>
      <c r="E436" s="38" t="s">
        <v>891</v>
      </c>
      <c r="F436" s="38" t="s">
        <v>1256</v>
      </c>
      <c r="G436" s="39" t="s">
        <v>1257</v>
      </c>
      <c r="H436" s="38"/>
      <c r="I436" s="29"/>
      <c r="J436" s="29"/>
      <c r="K436" s="29"/>
    </row>
    <row r="437" customFormat="false" ht="40.5" hidden="false" customHeight="true" outlineLevel="0" collapsed="false">
      <c r="A437" s="37" t="n">
        <v>413</v>
      </c>
      <c r="B437" s="38" t="s">
        <v>67</v>
      </c>
      <c r="C437" s="38" t="s">
        <v>1225</v>
      </c>
      <c r="D437" s="38" t="s">
        <v>1253</v>
      </c>
      <c r="E437" s="38" t="s">
        <v>894</v>
      </c>
      <c r="F437" s="38" t="s">
        <v>1258</v>
      </c>
      <c r="G437" s="39" t="s">
        <v>1259</v>
      </c>
      <c r="H437" s="38"/>
      <c r="I437" s="29"/>
      <c r="J437" s="29"/>
      <c r="K437" s="29"/>
    </row>
    <row r="438" customFormat="false" ht="40.5" hidden="false" customHeight="true" outlineLevel="0" collapsed="false">
      <c r="A438" s="37" t="n">
        <v>414</v>
      </c>
      <c r="B438" s="38" t="s">
        <v>67</v>
      </c>
      <c r="C438" s="38" t="s">
        <v>1225</v>
      </c>
      <c r="D438" s="38" t="s">
        <v>1260</v>
      </c>
      <c r="E438" s="38" t="s">
        <v>760</v>
      </c>
      <c r="F438" s="38" t="s">
        <v>1261</v>
      </c>
      <c r="G438" s="39" t="s">
        <v>1262</v>
      </c>
      <c r="H438" s="38"/>
      <c r="I438" s="29"/>
      <c r="J438" s="29"/>
      <c r="K438" s="29"/>
    </row>
    <row r="439" customFormat="false" ht="40.5" hidden="false" customHeight="true" outlineLevel="0" collapsed="false">
      <c r="A439" s="37" t="n">
        <v>415</v>
      </c>
      <c r="B439" s="38" t="s">
        <v>67</v>
      </c>
      <c r="C439" s="38" t="s">
        <v>1225</v>
      </c>
      <c r="D439" s="38" t="s">
        <v>1260</v>
      </c>
      <c r="E439" s="38" t="s">
        <v>888</v>
      </c>
      <c r="F439" s="38" t="s">
        <v>1263</v>
      </c>
      <c r="G439" s="39" t="s">
        <v>1264</v>
      </c>
      <c r="H439" s="38"/>
      <c r="I439" s="29"/>
      <c r="J439" s="29"/>
      <c r="K439" s="29"/>
    </row>
    <row r="440" customFormat="false" ht="40.5" hidden="false" customHeight="true" outlineLevel="0" collapsed="false">
      <c r="A440" s="37" t="n">
        <v>416</v>
      </c>
      <c r="B440" s="38" t="s">
        <v>67</v>
      </c>
      <c r="C440" s="38" t="s">
        <v>1225</v>
      </c>
      <c r="D440" s="38" t="s">
        <v>1260</v>
      </c>
      <c r="E440" s="38" t="s">
        <v>891</v>
      </c>
      <c r="F440" s="38" t="s">
        <v>1265</v>
      </c>
      <c r="G440" s="39" t="s">
        <v>1266</v>
      </c>
      <c r="H440" s="38"/>
      <c r="I440" s="29"/>
      <c r="J440" s="29"/>
      <c r="K440" s="29"/>
    </row>
    <row r="441" customFormat="false" ht="40.5" hidden="false" customHeight="true" outlineLevel="0" collapsed="false">
      <c r="A441" s="37" t="n">
        <v>417</v>
      </c>
      <c r="B441" s="38" t="s">
        <v>67</v>
      </c>
      <c r="C441" s="38" t="s">
        <v>1225</v>
      </c>
      <c r="D441" s="38" t="s">
        <v>1260</v>
      </c>
      <c r="E441" s="38" t="s">
        <v>894</v>
      </c>
      <c r="F441" s="38" t="s">
        <v>1267</v>
      </c>
      <c r="G441" s="39" t="s">
        <v>1268</v>
      </c>
      <c r="H441" s="38"/>
      <c r="I441" s="29"/>
      <c r="J441" s="29"/>
      <c r="K441" s="29"/>
    </row>
    <row r="442" customFormat="false" ht="40.5" hidden="false" customHeight="true" outlineLevel="0" collapsed="false">
      <c r="A442" s="37" t="n">
        <v>418</v>
      </c>
      <c r="B442" s="38" t="s">
        <v>67</v>
      </c>
      <c r="C442" s="38" t="s">
        <v>1225</v>
      </c>
      <c r="D442" s="38" t="s">
        <v>1269</v>
      </c>
      <c r="E442" s="38"/>
      <c r="F442" s="38" t="s">
        <v>1270</v>
      </c>
      <c r="G442" s="39" t="s">
        <v>1271</v>
      </c>
      <c r="H442" s="38"/>
      <c r="I442" s="29"/>
      <c r="J442" s="29"/>
      <c r="K442" s="29"/>
    </row>
    <row r="443" customFormat="false" ht="54" hidden="false" customHeight="true" outlineLevel="0" collapsed="false">
      <c r="A443" s="37" t="n">
        <v>419</v>
      </c>
      <c r="B443" s="38" t="s">
        <v>67</v>
      </c>
      <c r="C443" s="38" t="s">
        <v>1272</v>
      </c>
      <c r="D443" s="38" t="s">
        <v>1273</v>
      </c>
      <c r="E443" s="38"/>
      <c r="F443" s="38" t="s">
        <v>1274</v>
      </c>
      <c r="G443" s="39" t="s">
        <v>1275</v>
      </c>
      <c r="H443" s="38" t="s">
        <v>1276</v>
      </c>
      <c r="I443" s="29"/>
      <c r="J443" s="29"/>
      <c r="K443" s="29"/>
    </row>
    <row r="444" customFormat="false" ht="40.5" hidden="false" customHeight="true" outlineLevel="0" collapsed="false">
      <c r="A444" s="37" t="n">
        <v>420</v>
      </c>
      <c r="B444" s="38" t="s">
        <v>67</v>
      </c>
      <c r="C444" s="38" t="s">
        <v>1272</v>
      </c>
      <c r="D444" s="38" t="s">
        <v>1277</v>
      </c>
      <c r="E444" s="38"/>
      <c r="F444" s="38" t="s">
        <v>499</v>
      </c>
      <c r="G444" s="38" t="s">
        <v>1278</v>
      </c>
      <c r="H444" s="38" t="s">
        <v>1279</v>
      </c>
      <c r="I444" s="29"/>
      <c r="J444" s="29"/>
      <c r="K444" s="29"/>
    </row>
    <row r="445" customFormat="false" ht="40.5" hidden="false" customHeight="true" outlineLevel="0" collapsed="false">
      <c r="A445" s="37" t="n">
        <v>421</v>
      </c>
      <c r="B445" s="38" t="s">
        <v>67</v>
      </c>
      <c r="C445" s="38" t="s">
        <v>1272</v>
      </c>
      <c r="D445" s="38" t="s">
        <v>1280</v>
      </c>
      <c r="E445" s="38"/>
      <c r="F445" s="38" t="s">
        <v>501</v>
      </c>
      <c r="G445" s="38" t="s">
        <v>1281</v>
      </c>
      <c r="H445" s="38" t="s">
        <v>1279</v>
      </c>
      <c r="I445" s="29"/>
      <c r="J445" s="29"/>
      <c r="K445" s="29"/>
    </row>
    <row r="446" customFormat="false" ht="40.5" hidden="false" customHeight="true" outlineLevel="0" collapsed="false">
      <c r="A446" s="37" t="n">
        <v>422</v>
      </c>
      <c r="B446" s="38" t="s">
        <v>67</v>
      </c>
      <c r="C446" s="38" t="s">
        <v>1272</v>
      </c>
      <c r="D446" s="38" t="s">
        <v>1282</v>
      </c>
      <c r="E446" s="38"/>
      <c r="F446" s="38" t="s">
        <v>503</v>
      </c>
      <c r="G446" s="38" t="s">
        <v>1283</v>
      </c>
      <c r="H446" s="38" t="s">
        <v>1279</v>
      </c>
      <c r="I446" s="29"/>
      <c r="J446" s="29"/>
      <c r="K446" s="29"/>
    </row>
    <row r="447" customFormat="false" ht="40.5" hidden="false" customHeight="true" outlineLevel="0" collapsed="false">
      <c r="A447" s="37" t="n">
        <v>423</v>
      </c>
      <c r="B447" s="38" t="s">
        <v>67</v>
      </c>
      <c r="C447" s="38" t="s">
        <v>1272</v>
      </c>
      <c r="D447" s="38" t="s">
        <v>1284</v>
      </c>
      <c r="E447" s="38"/>
      <c r="F447" s="38" t="s">
        <v>505</v>
      </c>
      <c r="G447" s="38" t="s">
        <v>1285</v>
      </c>
      <c r="H447" s="38" t="s">
        <v>1279</v>
      </c>
      <c r="I447" s="29"/>
      <c r="J447" s="29"/>
      <c r="K447" s="29"/>
    </row>
    <row r="448" customFormat="false" ht="40.5" hidden="false" customHeight="true" outlineLevel="0" collapsed="false">
      <c r="A448" s="37" t="n">
        <v>424</v>
      </c>
      <c r="B448" s="38" t="s">
        <v>67</v>
      </c>
      <c r="C448" s="38" t="s">
        <v>1272</v>
      </c>
      <c r="D448" s="38" t="s">
        <v>1286</v>
      </c>
      <c r="E448" s="38"/>
      <c r="F448" s="38" t="s">
        <v>1287</v>
      </c>
      <c r="G448" s="38" t="s">
        <v>1288</v>
      </c>
      <c r="H448" s="38" t="s">
        <v>1279</v>
      </c>
      <c r="I448" s="29"/>
      <c r="J448" s="29"/>
      <c r="K448" s="29"/>
    </row>
    <row r="449" customFormat="false" ht="40.5" hidden="false" customHeight="true" outlineLevel="0" collapsed="false">
      <c r="A449" s="37" t="n">
        <v>425</v>
      </c>
      <c r="B449" s="38" t="s">
        <v>67</v>
      </c>
      <c r="C449" s="38" t="s">
        <v>1272</v>
      </c>
      <c r="D449" s="38" t="s">
        <v>1289</v>
      </c>
      <c r="E449" s="38"/>
      <c r="F449" s="38" t="s">
        <v>1290</v>
      </c>
      <c r="G449" s="38" t="s">
        <v>1291</v>
      </c>
      <c r="H449" s="38" t="s">
        <v>1292</v>
      </c>
      <c r="I449" s="29"/>
      <c r="J449" s="29"/>
      <c r="K449" s="29"/>
    </row>
    <row r="450" customFormat="false" ht="40.5" hidden="false" customHeight="true" outlineLevel="0" collapsed="false">
      <c r="A450" s="37" t="n">
        <v>426</v>
      </c>
      <c r="B450" s="38" t="s">
        <v>67</v>
      </c>
      <c r="C450" s="38" t="s">
        <v>1272</v>
      </c>
      <c r="D450" s="38" t="s">
        <v>1293</v>
      </c>
      <c r="E450" s="38"/>
      <c r="F450" s="38" t="s">
        <v>1294</v>
      </c>
      <c r="G450" s="39" t="s">
        <v>1295</v>
      </c>
      <c r="H450" s="38" t="s">
        <v>1296</v>
      </c>
      <c r="I450" s="29"/>
      <c r="J450" s="29"/>
      <c r="K450" s="29"/>
    </row>
    <row r="451" customFormat="false" ht="54" hidden="false" customHeight="true" outlineLevel="0" collapsed="false">
      <c r="A451" s="26" t="n">
        <v>427</v>
      </c>
      <c r="B451" s="27" t="s">
        <v>68</v>
      </c>
      <c r="C451" s="27"/>
      <c r="D451" s="27" t="s">
        <v>79</v>
      </c>
      <c r="E451" s="27"/>
      <c r="F451" s="27" t="s">
        <v>1297</v>
      </c>
      <c r="G451" s="28" t="s">
        <v>1298</v>
      </c>
      <c r="H451" s="27"/>
      <c r="I451" s="29"/>
      <c r="J451" s="29"/>
      <c r="K451" s="29"/>
    </row>
    <row r="452" customFormat="false" ht="54" hidden="false" customHeight="true" outlineLevel="0" collapsed="false">
      <c r="A452" s="26" t="n">
        <v>428</v>
      </c>
      <c r="B452" s="27" t="s">
        <v>68</v>
      </c>
      <c r="C452" s="27"/>
      <c r="D452" s="27" t="s">
        <v>1299</v>
      </c>
      <c r="E452" s="27"/>
      <c r="F452" s="27" t="s">
        <v>1300</v>
      </c>
      <c r="G452" s="28" t="s">
        <v>1301</v>
      </c>
      <c r="H452" s="27"/>
      <c r="I452" s="29"/>
      <c r="J452" s="29"/>
      <c r="K452" s="29"/>
    </row>
    <row r="453" customFormat="false" ht="54" hidden="false" customHeight="true" outlineLevel="0" collapsed="false">
      <c r="A453" s="26" t="n">
        <v>429</v>
      </c>
      <c r="B453" s="27" t="s">
        <v>68</v>
      </c>
      <c r="C453" s="27"/>
      <c r="D453" s="27" t="s">
        <v>1302</v>
      </c>
      <c r="E453" s="27"/>
      <c r="F453" s="27" t="s">
        <v>1303</v>
      </c>
      <c r="G453" s="28" t="s">
        <v>1304</v>
      </c>
      <c r="H453" s="27"/>
      <c r="I453" s="29"/>
      <c r="J453" s="29"/>
      <c r="K453" s="29"/>
    </row>
    <row r="454" customFormat="false" ht="54" hidden="false" customHeight="true" outlineLevel="0" collapsed="false">
      <c r="A454" s="26" t="n">
        <v>430</v>
      </c>
      <c r="B454" s="27" t="s">
        <v>68</v>
      </c>
      <c r="C454" s="27"/>
      <c r="D454" s="27" t="s">
        <v>312</v>
      </c>
      <c r="E454" s="27"/>
      <c r="F454" s="27" t="s">
        <v>1305</v>
      </c>
      <c r="G454" s="28" t="s">
        <v>1306</v>
      </c>
      <c r="H454" s="27"/>
      <c r="I454" s="29"/>
      <c r="J454" s="29"/>
      <c r="K454" s="29"/>
    </row>
    <row r="455" customFormat="false" ht="54" hidden="false" customHeight="true" outlineLevel="0" collapsed="false">
      <c r="A455" s="26" t="n">
        <v>431</v>
      </c>
      <c r="B455" s="27" t="s">
        <v>68</v>
      </c>
      <c r="C455" s="27"/>
      <c r="D455" s="27" t="s">
        <v>1307</v>
      </c>
      <c r="E455" s="27"/>
      <c r="F455" s="27" t="s">
        <v>1308</v>
      </c>
      <c r="G455" s="28" t="s">
        <v>1309</v>
      </c>
      <c r="H455" s="27"/>
      <c r="I455" s="29"/>
      <c r="J455" s="29"/>
      <c r="K455" s="29"/>
    </row>
    <row r="456" customFormat="false" ht="54" hidden="false" customHeight="true" outlineLevel="0" collapsed="false">
      <c r="A456" s="26" t="n">
        <v>432</v>
      </c>
      <c r="B456" s="27" t="s">
        <v>68</v>
      </c>
      <c r="C456" s="27"/>
      <c r="D456" s="27" t="s">
        <v>1310</v>
      </c>
      <c r="E456" s="27"/>
      <c r="F456" s="27" t="s">
        <v>1311</v>
      </c>
      <c r="G456" s="27" t="s">
        <v>1312</v>
      </c>
      <c r="H456" s="27"/>
      <c r="I456" s="29"/>
      <c r="J456" s="29"/>
      <c r="K456" s="29"/>
    </row>
    <row r="457" customFormat="false" ht="54" hidden="false" customHeight="true" outlineLevel="0" collapsed="false">
      <c r="A457" s="26" t="n">
        <v>433</v>
      </c>
      <c r="B457" s="27" t="s">
        <v>68</v>
      </c>
      <c r="C457" s="27"/>
      <c r="D457" s="27" t="s">
        <v>1313</v>
      </c>
      <c r="E457" s="27"/>
      <c r="F457" s="27" t="s">
        <v>1314</v>
      </c>
      <c r="G457" s="28" t="s">
        <v>1315</v>
      </c>
      <c r="H457" s="27"/>
      <c r="I457" s="29"/>
      <c r="J457" s="29"/>
      <c r="K457" s="29"/>
    </row>
    <row r="458" customFormat="false" ht="54" hidden="false" customHeight="true" outlineLevel="0" collapsed="false">
      <c r="A458" s="26" t="n">
        <v>434</v>
      </c>
      <c r="B458" s="27" t="s">
        <v>68</v>
      </c>
      <c r="C458" s="27"/>
      <c r="D458" s="27" t="s">
        <v>1316</v>
      </c>
      <c r="E458" s="27"/>
      <c r="F458" s="27" t="s">
        <v>1317</v>
      </c>
      <c r="G458" s="28" t="s">
        <v>1318</v>
      </c>
      <c r="H458" s="27"/>
      <c r="I458" s="29"/>
      <c r="J458" s="29"/>
      <c r="K458" s="29"/>
    </row>
    <row r="459" customFormat="false" ht="54" hidden="false" customHeight="true" outlineLevel="0" collapsed="false">
      <c r="A459" s="26" t="n">
        <v>435</v>
      </c>
      <c r="B459" s="27" t="s">
        <v>68</v>
      </c>
      <c r="C459" s="27"/>
      <c r="D459" s="27" t="s">
        <v>1319</v>
      </c>
      <c r="E459" s="27"/>
      <c r="F459" s="27" t="s">
        <v>1320</v>
      </c>
      <c r="G459" s="28" t="s">
        <v>1321</v>
      </c>
      <c r="H459" s="27"/>
      <c r="I459" s="29"/>
      <c r="J459" s="29"/>
      <c r="K459" s="29"/>
    </row>
    <row r="460" customFormat="false" ht="54" hidden="false" customHeight="true" outlineLevel="0" collapsed="false">
      <c r="A460" s="26" t="n">
        <v>436</v>
      </c>
      <c r="B460" s="27" t="s">
        <v>68</v>
      </c>
      <c r="C460" s="27"/>
      <c r="D460" s="27" t="s">
        <v>1322</v>
      </c>
      <c r="E460" s="27"/>
      <c r="F460" s="27" t="s">
        <v>1323</v>
      </c>
      <c r="G460" s="28" t="s">
        <v>1324</v>
      </c>
      <c r="H460" s="27"/>
      <c r="I460" s="29"/>
      <c r="J460" s="29"/>
      <c r="K460" s="29"/>
    </row>
    <row r="461" customFormat="false" ht="54" hidden="false" customHeight="true" outlineLevel="0" collapsed="false">
      <c r="A461" s="26" t="n">
        <v>437</v>
      </c>
      <c r="B461" s="27" t="s">
        <v>68</v>
      </c>
      <c r="C461" s="27" t="s">
        <v>1325</v>
      </c>
      <c r="D461" s="27" t="s">
        <v>1326</v>
      </c>
      <c r="E461" s="27"/>
      <c r="F461" s="27" t="s">
        <v>1327</v>
      </c>
      <c r="G461" s="28" t="s">
        <v>1328</v>
      </c>
      <c r="H461" s="27"/>
      <c r="I461" s="29"/>
      <c r="J461" s="29"/>
      <c r="K461" s="29"/>
    </row>
    <row r="462" customFormat="false" ht="54" hidden="false" customHeight="true" outlineLevel="0" collapsed="false">
      <c r="A462" s="26" t="n">
        <v>438</v>
      </c>
      <c r="B462" s="27" t="s">
        <v>68</v>
      </c>
      <c r="C462" s="27" t="s">
        <v>1325</v>
      </c>
      <c r="D462" s="27" t="s">
        <v>1329</v>
      </c>
      <c r="E462" s="27"/>
      <c r="F462" s="27" t="s">
        <v>1330</v>
      </c>
      <c r="G462" s="28" t="s">
        <v>1331</v>
      </c>
      <c r="H462" s="27"/>
      <c r="I462" s="29"/>
      <c r="J462" s="29"/>
      <c r="K462" s="29"/>
    </row>
    <row r="463" customFormat="false" ht="54" hidden="false" customHeight="true" outlineLevel="0" collapsed="false">
      <c r="A463" s="26" t="n">
        <v>439</v>
      </c>
      <c r="B463" s="27" t="s">
        <v>68</v>
      </c>
      <c r="C463" s="27" t="s">
        <v>1325</v>
      </c>
      <c r="D463" s="27" t="s">
        <v>1332</v>
      </c>
      <c r="E463" s="27"/>
      <c r="F463" s="27" t="s">
        <v>1333</v>
      </c>
      <c r="G463" s="27" t="s">
        <v>1334</v>
      </c>
      <c r="H463" s="27"/>
      <c r="I463" s="29"/>
      <c r="J463" s="29"/>
      <c r="K463" s="29"/>
    </row>
    <row r="464" customFormat="false" ht="54" hidden="false" customHeight="true" outlineLevel="0" collapsed="false">
      <c r="A464" s="26" t="n">
        <v>440</v>
      </c>
      <c r="B464" s="27" t="s">
        <v>68</v>
      </c>
      <c r="C464" s="27" t="s">
        <v>1325</v>
      </c>
      <c r="D464" s="27" t="s">
        <v>1335</v>
      </c>
      <c r="E464" s="27"/>
      <c r="F464" s="27" t="s">
        <v>1336</v>
      </c>
      <c r="G464" s="27" t="s">
        <v>1337</v>
      </c>
      <c r="H464" s="27"/>
      <c r="I464" s="29"/>
      <c r="J464" s="29"/>
      <c r="K464" s="29"/>
    </row>
    <row r="465" customFormat="false" ht="54" hidden="false" customHeight="true" outlineLevel="0" collapsed="false">
      <c r="A465" s="26" t="n">
        <v>441</v>
      </c>
      <c r="B465" s="27" t="s">
        <v>68</v>
      </c>
      <c r="C465" s="27" t="s">
        <v>1325</v>
      </c>
      <c r="D465" s="27" t="s">
        <v>1338</v>
      </c>
      <c r="E465" s="27"/>
      <c r="F465" s="27" t="s">
        <v>1339</v>
      </c>
      <c r="G465" s="27" t="s">
        <v>1340</v>
      </c>
      <c r="H465" s="27"/>
      <c r="I465" s="29"/>
      <c r="J465" s="29"/>
      <c r="K465" s="29"/>
    </row>
    <row r="466" customFormat="false" ht="54" hidden="false" customHeight="true" outlineLevel="0" collapsed="false">
      <c r="A466" s="26" t="n">
        <v>442</v>
      </c>
      <c r="B466" s="27" t="s">
        <v>68</v>
      </c>
      <c r="C466" s="27" t="s">
        <v>1325</v>
      </c>
      <c r="D466" s="27" t="s">
        <v>1341</v>
      </c>
      <c r="E466" s="27"/>
      <c r="F466" s="27" t="s">
        <v>1342</v>
      </c>
      <c r="G466" s="28" t="s">
        <v>1275</v>
      </c>
      <c r="H466" s="27"/>
      <c r="I466" s="29"/>
      <c r="J466" s="29"/>
      <c r="K466" s="29"/>
    </row>
    <row r="467" customFormat="false" ht="54" hidden="false" customHeight="true" outlineLevel="0" collapsed="false">
      <c r="A467" s="26" t="n">
        <v>443</v>
      </c>
      <c r="B467" s="27" t="s">
        <v>68</v>
      </c>
      <c r="C467" s="27" t="s">
        <v>1325</v>
      </c>
      <c r="D467" s="27" t="s">
        <v>1343</v>
      </c>
      <c r="E467" s="27"/>
      <c r="F467" s="27" t="s">
        <v>1344</v>
      </c>
      <c r="G467" s="28" t="s">
        <v>1083</v>
      </c>
      <c r="H467" s="27"/>
      <c r="I467" s="29"/>
      <c r="J467" s="29"/>
      <c r="K467" s="29"/>
    </row>
    <row r="468" customFormat="false" ht="54" hidden="false" customHeight="true" outlineLevel="0" collapsed="false">
      <c r="A468" s="26" t="n">
        <v>444</v>
      </c>
      <c r="B468" s="27" t="s">
        <v>68</v>
      </c>
      <c r="C468" s="27" t="s">
        <v>1325</v>
      </c>
      <c r="D468" s="27" t="s">
        <v>1345</v>
      </c>
      <c r="E468" s="27"/>
      <c r="F468" s="27" t="s">
        <v>1076</v>
      </c>
      <c r="G468" s="28" t="s">
        <v>1077</v>
      </c>
      <c r="H468" s="27"/>
      <c r="I468" s="29"/>
      <c r="J468" s="29"/>
      <c r="K468" s="29"/>
    </row>
    <row r="469" customFormat="false" ht="54" hidden="false" customHeight="true" outlineLevel="0" collapsed="false">
      <c r="A469" s="26" t="n">
        <v>445</v>
      </c>
      <c r="B469" s="27" t="s">
        <v>68</v>
      </c>
      <c r="C469" s="27" t="s">
        <v>1325</v>
      </c>
      <c r="D469" s="27" t="s">
        <v>1346</v>
      </c>
      <c r="E469" s="27"/>
      <c r="F469" s="27" t="s">
        <v>1079</v>
      </c>
      <c r="G469" s="28" t="s">
        <v>1080</v>
      </c>
      <c r="H469" s="27"/>
      <c r="I469" s="29"/>
      <c r="J469" s="29"/>
      <c r="K469" s="29"/>
    </row>
    <row r="470" customFormat="false" ht="54" hidden="false" customHeight="true" outlineLevel="0" collapsed="false">
      <c r="A470" s="26" t="n">
        <v>446</v>
      </c>
      <c r="B470" s="27" t="s">
        <v>68</v>
      </c>
      <c r="C470" s="27" t="s">
        <v>1325</v>
      </c>
      <c r="D470" s="27" t="s">
        <v>1347</v>
      </c>
      <c r="E470" s="27"/>
      <c r="F470" s="27" t="s">
        <v>1348</v>
      </c>
      <c r="G470" s="28" t="s">
        <v>1349</v>
      </c>
      <c r="H470" s="27"/>
      <c r="I470" s="29"/>
      <c r="J470" s="29"/>
      <c r="K470" s="29"/>
    </row>
    <row r="471" customFormat="false" ht="54" hidden="false" customHeight="true" outlineLevel="0" collapsed="false">
      <c r="A471" s="26" t="n">
        <v>447</v>
      </c>
      <c r="B471" s="27" t="s">
        <v>68</v>
      </c>
      <c r="C471" s="27" t="s">
        <v>1325</v>
      </c>
      <c r="D471" s="27" t="s">
        <v>1350</v>
      </c>
      <c r="E471" s="27"/>
      <c r="F471" s="27" t="s">
        <v>1351</v>
      </c>
      <c r="G471" s="28" t="s">
        <v>1352</v>
      </c>
      <c r="H471" s="27"/>
      <c r="I471" s="29"/>
      <c r="J471" s="29"/>
      <c r="K471" s="29"/>
    </row>
    <row r="472" customFormat="false" ht="54" hidden="false" customHeight="true" outlineLevel="0" collapsed="false">
      <c r="A472" s="26" t="n">
        <v>448</v>
      </c>
      <c r="B472" s="27" t="s">
        <v>68</v>
      </c>
      <c r="C472" s="27" t="s">
        <v>1325</v>
      </c>
      <c r="D472" s="27" t="s">
        <v>1353</v>
      </c>
      <c r="E472" s="27"/>
      <c r="F472" s="27" t="s">
        <v>69</v>
      </c>
      <c r="G472" s="28" t="s">
        <v>1354</v>
      </c>
      <c r="H472" s="27"/>
      <c r="I472" s="29"/>
      <c r="J472" s="29"/>
      <c r="K472" s="29"/>
    </row>
    <row r="473" customFormat="false" ht="54" hidden="false" customHeight="true" outlineLevel="0" collapsed="false">
      <c r="A473" s="26" t="n">
        <v>449</v>
      </c>
      <c r="B473" s="27" t="s">
        <v>68</v>
      </c>
      <c r="C473" s="27" t="s">
        <v>1325</v>
      </c>
      <c r="D473" s="27" t="s">
        <v>1355</v>
      </c>
      <c r="E473" s="27"/>
      <c r="F473" s="27" t="s">
        <v>1356</v>
      </c>
      <c r="G473" s="28" t="s">
        <v>1357</v>
      </c>
      <c r="H473" s="27"/>
      <c r="I473" s="29"/>
      <c r="J473" s="29"/>
      <c r="K473" s="29"/>
    </row>
    <row r="474" customFormat="false" ht="54" hidden="false" customHeight="true" outlineLevel="0" collapsed="false">
      <c r="A474" s="26" t="n">
        <v>450</v>
      </c>
      <c r="B474" s="27" t="s">
        <v>68</v>
      </c>
      <c r="C474" s="27" t="s">
        <v>1325</v>
      </c>
      <c r="D474" s="27" t="s">
        <v>1358</v>
      </c>
      <c r="E474" s="27"/>
      <c r="F474" s="27" t="s">
        <v>1359</v>
      </c>
      <c r="G474" s="28" t="s">
        <v>1360</v>
      </c>
      <c r="H474" s="27"/>
      <c r="I474" s="29"/>
      <c r="J474" s="29"/>
      <c r="K474" s="29"/>
    </row>
    <row r="475" customFormat="false" ht="54" hidden="false" customHeight="true" outlineLevel="0" collapsed="false">
      <c r="A475" s="26" t="n">
        <v>451</v>
      </c>
      <c r="B475" s="27" t="s">
        <v>68</v>
      </c>
      <c r="C475" s="27" t="s">
        <v>1325</v>
      </c>
      <c r="D475" s="27" t="s">
        <v>1361</v>
      </c>
      <c r="E475" s="27"/>
      <c r="F475" s="27" t="s">
        <v>1362</v>
      </c>
      <c r="G475" s="28" t="s">
        <v>1363</v>
      </c>
      <c r="H475" s="27"/>
      <c r="I475" s="29"/>
      <c r="J475" s="29"/>
      <c r="K475" s="29"/>
    </row>
    <row r="476" customFormat="false" ht="54" hidden="false" customHeight="true" outlineLevel="0" collapsed="false">
      <c r="A476" s="26" t="n">
        <v>452</v>
      </c>
      <c r="B476" s="27" t="s">
        <v>68</v>
      </c>
      <c r="C476" s="27" t="s">
        <v>1325</v>
      </c>
      <c r="D476" s="27" t="s">
        <v>1364</v>
      </c>
      <c r="E476" s="27"/>
      <c r="F476" s="27" t="s">
        <v>1365</v>
      </c>
      <c r="G476" s="28" t="s">
        <v>1366</v>
      </c>
      <c r="H476" s="27"/>
      <c r="I476" s="29"/>
      <c r="J476" s="29"/>
      <c r="K476" s="29"/>
    </row>
    <row r="477" customFormat="false" ht="54" hidden="false" customHeight="true" outlineLevel="0" collapsed="false">
      <c r="A477" s="26" t="n">
        <v>453</v>
      </c>
      <c r="B477" s="27" t="s">
        <v>68</v>
      </c>
      <c r="C477" s="27" t="s">
        <v>1367</v>
      </c>
      <c r="D477" s="27" t="s">
        <v>1368</v>
      </c>
      <c r="E477" s="27"/>
      <c r="F477" s="27" t="s">
        <v>1369</v>
      </c>
      <c r="G477" s="28" t="s">
        <v>1370</v>
      </c>
      <c r="H477" s="27"/>
      <c r="I477" s="29"/>
      <c r="J477" s="29"/>
      <c r="K477" s="29"/>
    </row>
    <row r="478" customFormat="false" ht="54" hidden="false" customHeight="true" outlineLevel="0" collapsed="false">
      <c r="A478" s="26" t="n">
        <v>454</v>
      </c>
      <c r="B478" s="27" t="s">
        <v>68</v>
      </c>
      <c r="C478" s="27" t="s">
        <v>1367</v>
      </c>
      <c r="D478" s="27" t="s">
        <v>1371</v>
      </c>
      <c r="E478" s="27"/>
      <c r="F478" s="27" t="s">
        <v>1372</v>
      </c>
      <c r="G478" s="28" t="s">
        <v>1373</v>
      </c>
      <c r="H478" s="27"/>
      <c r="I478" s="29"/>
      <c r="J478" s="29"/>
      <c r="K478" s="29"/>
    </row>
    <row r="479" customFormat="false" ht="54" hidden="false" customHeight="true" outlineLevel="0" collapsed="false">
      <c r="A479" s="26" t="n">
        <v>455</v>
      </c>
      <c r="B479" s="27" t="s">
        <v>68</v>
      </c>
      <c r="C479" s="27" t="s">
        <v>1367</v>
      </c>
      <c r="D479" s="27" t="s">
        <v>1374</v>
      </c>
      <c r="E479" s="27"/>
      <c r="F479" s="27" t="s">
        <v>1375</v>
      </c>
      <c r="G479" s="28" t="s">
        <v>1376</v>
      </c>
      <c r="H479" s="27"/>
      <c r="I479" s="29"/>
      <c r="J479" s="29"/>
      <c r="K479" s="29"/>
    </row>
    <row r="480" customFormat="false" ht="67.5" hidden="false" customHeight="true" outlineLevel="0" collapsed="false">
      <c r="A480" s="26" t="n">
        <v>456</v>
      </c>
      <c r="B480" s="27" t="s">
        <v>68</v>
      </c>
      <c r="C480" s="27" t="s">
        <v>1367</v>
      </c>
      <c r="D480" s="27" t="s">
        <v>1377</v>
      </c>
      <c r="E480" s="27"/>
      <c r="F480" s="27" t="s">
        <v>1378</v>
      </c>
      <c r="G480" s="28" t="s">
        <v>1379</v>
      </c>
      <c r="H480" s="27"/>
      <c r="I480" s="29"/>
      <c r="J480" s="29"/>
      <c r="K480" s="29"/>
    </row>
    <row r="481" customFormat="false" ht="54" hidden="false" customHeight="true" outlineLevel="0" collapsed="false">
      <c r="A481" s="26" t="n">
        <v>457</v>
      </c>
      <c r="B481" s="27" t="s">
        <v>68</v>
      </c>
      <c r="C481" s="27" t="s">
        <v>1367</v>
      </c>
      <c r="D481" s="27" t="s">
        <v>1380</v>
      </c>
      <c r="E481" s="27"/>
      <c r="F481" s="27" t="s">
        <v>1381</v>
      </c>
      <c r="G481" s="28" t="s">
        <v>1382</v>
      </c>
      <c r="H481" s="27"/>
      <c r="I481" s="29"/>
      <c r="J481" s="29"/>
      <c r="K481" s="29"/>
    </row>
    <row r="482" customFormat="false" ht="54" hidden="false" customHeight="true" outlineLevel="0" collapsed="false">
      <c r="A482" s="26" t="n">
        <v>458</v>
      </c>
      <c r="B482" s="27" t="s">
        <v>68</v>
      </c>
      <c r="C482" s="27" t="s">
        <v>1367</v>
      </c>
      <c r="D482" s="27" t="s">
        <v>1383</v>
      </c>
      <c r="E482" s="27"/>
      <c r="F482" s="27" t="s">
        <v>1384</v>
      </c>
      <c r="G482" s="28" t="s">
        <v>1385</v>
      </c>
      <c r="H482" s="27"/>
      <c r="I482" s="29"/>
      <c r="J482" s="29"/>
      <c r="K482" s="29"/>
    </row>
    <row r="483" customFormat="false" ht="54" hidden="false" customHeight="true" outlineLevel="0" collapsed="false">
      <c r="A483" s="26" t="n">
        <v>459</v>
      </c>
      <c r="B483" s="27" t="s">
        <v>68</v>
      </c>
      <c r="C483" s="27" t="s">
        <v>1367</v>
      </c>
      <c r="D483" s="27" t="s">
        <v>1386</v>
      </c>
      <c r="E483" s="27"/>
      <c r="F483" s="27" t="s">
        <v>1387</v>
      </c>
      <c r="G483" s="28" t="s">
        <v>1388</v>
      </c>
      <c r="H483" s="27"/>
      <c r="I483" s="29"/>
      <c r="J483" s="29"/>
      <c r="K483" s="29"/>
    </row>
    <row r="484" customFormat="false" ht="54" hidden="false" customHeight="true" outlineLevel="0" collapsed="false">
      <c r="A484" s="26" t="n">
        <v>460</v>
      </c>
      <c r="B484" s="27" t="s">
        <v>68</v>
      </c>
      <c r="C484" s="27" t="s">
        <v>1367</v>
      </c>
      <c r="D484" s="27" t="s">
        <v>1389</v>
      </c>
      <c r="E484" s="27"/>
      <c r="F484" s="27" t="s">
        <v>1390</v>
      </c>
      <c r="G484" s="28" t="s">
        <v>1391</v>
      </c>
      <c r="H484" s="27"/>
      <c r="I484" s="29"/>
      <c r="J484" s="29"/>
      <c r="K484" s="29"/>
    </row>
    <row r="485" customFormat="false" ht="54" hidden="false" customHeight="true" outlineLevel="0" collapsed="false">
      <c r="A485" s="26" t="n">
        <v>461</v>
      </c>
      <c r="B485" s="27" t="s">
        <v>68</v>
      </c>
      <c r="C485" s="27" t="s">
        <v>1367</v>
      </c>
      <c r="D485" s="27" t="s">
        <v>1392</v>
      </c>
      <c r="E485" s="27"/>
      <c r="F485" s="27" t="s">
        <v>1393</v>
      </c>
      <c r="G485" s="28" t="s">
        <v>1394</v>
      </c>
      <c r="H485" s="27"/>
      <c r="I485" s="29"/>
      <c r="J485" s="29"/>
      <c r="K485" s="29"/>
    </row>
    <row r="486" customFormat="false" ht="54" hidden="false" customHeight="true" outlineLevel="0" collapsed="false">
      <c r="A486" s="26" t="n">
        <v>462</v>
      </c>
      <c r="B486" s="27" t="s">
        <v>68</v>
      </c>
      <c r="C486" s="27" t="s">
        <v>1367</v>
      </c>
      <c r="D486" s="27" t="s">
        <v>1395</v>
      </c>
      <c r="E486" s="27"/>
      <c r="F486" s="27" t="s">
        <v>1396</v>
      </c>
      <c r="G486" s="28" t="s">
        <v>1397</v>
      </c>
      <c r="H486" s="27"/>
      <c r="I486" s="29"/>
      <c r="J486" s="29"/>
      <c r="K486" s="29"/>
    </row>
    <row r="487" customFormat="false" ht="94.5" hidden="false" customHeight="true" outlineLevel="0" collapsed="false">
      <c r="A487" s="26" t="n">
        <v>463</v>
      </c>
      <c r="B487" s="27" t="s">
        <v>68</v>
      </c>
      <c r="C487" s="27"/>
      <c r="D487" s="27" t="s">
        <v>1398</v>
      </c>
      <c r="E487" s="27"/>
      <c r="F487" s="27" t="s">
        <v>1399</v>
      </c>
      <c r="G487" s="28" t="s">
        <v>1400</v>
      </c>
      <c r="H487" s="27"/>
      <c r="I487" s="29"/>
      <c r="J487" s="29"/>
      <c r="K487" s="29"/>
    </row>
  </sheetData>
  <autoFilter ref="A4:K487"/>
  <conditionalFormatting sqref="I5:I487">
    <cfRule type="expression" priority="2" aboveAverage="0" equalAverage="0" bottom="0" percent="0" rank="0" text="" dxfId="10">
      <formula>I5="OK"</formula>
    </cfRule>
    <cfRule type="expression" priority="3" aboveAverage="0" equalAverage="0" bottom="0" percent="0" rank="0" text="" dxfId="11">
      <formula>I5="Change needed"</formula>
    </cfRule>
    <cfRule type="expression" priority="4" aboveAverage="0" equalAverage="0" bottom="0" percent="0" rank="0" text="" dxfId="12">
      <formula>I5="Question"</formula>
    </cfRule>
  </conditionalFormatting>
  <dataValidations count="1">
    <dataValidation allowBlank="true" error="Pick OK, Change needed or Question." errorStyle="stop" errorTitle="Status" operator="between" showDropDown="false" showErrorMessage="false" showInputMessage="false" sqref="I5:I9 I11:I26 I28:I40 I42:I45 I47 I49:I54 I56:I70 I72:I107 I109:I117 I119:I120 I122:I123 I125:I126 I128:I199 I201:I240 I242:I258 I260:I289 I291:I320 I322:I326 I328:I344 I346:I388 I390:I487" type="list">
      <formula1>"OK,Change needed,Question"</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2026-09-28T04:43:57Z</dcterms:created>
  <dc:creator>openpyxl</dc:creator>
  <dc:description/>
  <dc:language>en-US</dc:language>
  <cp:lastModifiedBy/>
  <dcterms:modified xsi:type="dcterms:W3CDTF">2026-09-28T04:43:58Z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