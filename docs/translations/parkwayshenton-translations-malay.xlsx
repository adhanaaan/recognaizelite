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ogress" sheetId="2" state="visible" r:id="rId4"/>
    <sheet name="Translations" sheetId="3" state="visible" r:id="rId5"/>
  </sheets>
  <definedNames>
    <definedName function="false" hidden="false" localSheetId="2" name="_xlnm.Print_Titles" vbProcedure="false">Translations!$4:$4</definedName>
    <definedName function="false" hidden="true" localSheetId="2" name="_xlnm._FilterDatabase" vbProcedure="false">Translations!$A$4:$K$487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<sst xmlns="http://schemas.openxmlformats.org/spreadsheetml/2006/main" count="2755" uniqueCount="1400">
  <si>
    <t xml:space="preserve">ReCOGnAIze · /parkwayshenton: Malay (Bahasa Melayu) translation review</t>
  </si>
  <si>
    <t xml:space="preserve">Every visitor-facing string in the Parkway Shenton flow, in English and Malay, in the order a visitor meets them. Taken from the app's copy files at commit 9efce8d.</t>
  </si>
  <si>
    <t xml:space="preserve">What to do</t>
  </si>
  <si>
    <t xml:space="preserve">1. Read</t>
  </si>
  <si>
    <t xml:space="preserve">On the Translations tab, read each row's English, then the current Malay. The English is the source; the Malay is what the app shows today.</t>
  </si>
  <si>
    <t xml:space="preserve">2. Mark a status</t>
  </si>
  <si>
    <t xml:space="preserve">In the Status column, pick OK, Change needed or Question from the dropdown.</t>
  </si>
  <si>
    <t xml:space="preserve">3. Suggest a fix</t>
  </si>
  <si>
    <t xml:space="preserve">For Change needed, type the full corrected text in Suggested text (the whole string, not just the changed word).</t>
  </si>
  <si>
    <t xml:space="preserve">4. Comment</t>
  </si>
  <si>
    <t xml:space="preserve">Use Comments for anything else: a question, a note on tone, a term to use consistently.</t>
  </si>
  <si>
    <t xml:space="preserve">Only edit</t>
  </si>
  <si>
    <t xml:space="preserve">The yellow columns (Status, Suggested text, Comments). Please don't add, delete or reorder columns: your answers are matched back to the app by the ID in column A.</t>
  </si>
  <si>
    <t xml:space="preserve">Example of a filled-in row (illustration only, not a real finding)</t>
  </si>
  <si>
    <t xml:space="preserve">English</t>
  </si>
  <si>
    <t xml:space="preserve">Get started for free</t>
  </si>
  <si>
    <t xml:space="preserve">Malay (current)</t>
  </si>
  <si>
    <t xml:space="preserve">Mula secara percuma</t>
  </si>
  <si>
    <t xml:space="preserve">Status</t>
  </si>
  <si>
    <t xml:space="preserve">Change needed</t>
  </si>
  <si>
    <t xml:space="preserve">Suggested text</t>
  </si>
  <si>
    <t xml:space="preserve">Mulakan secara percuma</t>
  </si>
  <si>
    <t xml:space="preserve">Comments</t>
  </si>
  <si>
    <t xml:space="preserve">"Mulakan" reads more naturally as a call to action.</t>
  </si>
  <si>
    <t xml:space="preserve">Reading the rows</t>
  </si>
  <si>
    <t xml:space="preserve">{placeholders}</t>
  </si>
  <si>
    <t xml:space="preserve">Text in curly brackets, such as {name}, {percentile} or {ageLabel}, is replaced by a live value. Keep it exactly as written, but move it wherever it reads naturally.</t>
  </si>
  <si>
    <t xml:space="preserve">Grey rows</t>
  </si>
  <si>
    <t xml:space="preserve">"Assembled preview" rows show a sentence that the screen builds from several rows (for example a headline with one word in italics, or a clause with a link in the middle). Use the preview to judge how the sentence reads; put corrections on the individual rows beneath it.</t>
  </si>
  <si>
    <t xml:space="preserve">Fragments</t>
  </si>
  <si>
    <t xml:space="preserve">Rows marked "Fragment" are pieces of one sentence. Spaces at the start or end are part of the text and matter.</t>
  </si>
  <si>
    <t xml:space="preserve">Orange cells</t>
  </si>
  <si>
    <t xml:space="preserve">Text that is hardcoded in English and stays English in every language (for example a journal title, or a game screen with no translation yet). Mark it Change needed if it should be translated.</t>
  </si>
  <si>
    <t xml:space="preserve">Red rows (legal)</t>
  </si>
  <si>
    <t xml:space="preserve">IHH Healthcare Singapore's consent clauses. The English is IHH's own legal wording; the Malay is our in-house translation, not IHH's, and must say exactly what the English says, no more and no less.</t>
  </si>
  <si>
    <t xml:space="preserve">Shown when</t>
  </si>
  <si>
    <t xml:space="preserve">Blank means the text is always shown. The report comes in four versions (under 40 / 40 and over × fast / slower result); report rows name the versions they appear in.</t>
  </si>
  <si>
    <t xml:space="preserve">Screen readers</t>
  </si>
  <si>
    <t xml:space="preserve">Rows marked "screen readers" are not printed on screen but are read aloud to visually impaired visitors. Please still translate them.</t>
  </si>
  <si>
    <t xml:space="preserve">Screen 9</t>
  </si>
  <si>
    <t xml:space="preserve">The "full picture" page (/parkwayshenton/report-full) is translated, but nothing in the flow links to it at the moment. Review it only if time allows.</t>
  </si>
  <si>
    <t xml:space="preserve">Tabs</t>
  </si>
  <si>
    <t xml:space="preserve">Translations</t>
  </si>
  <si>
    <t xml:space="preserve">The flow, screen by screen: landing, what happens next, game intro, tutorial and game, game complete, quiz, loading, report, and the optional unlinked page.</t>
  </si>
  <si>
    <t xml:space="preserve">Progress</t>
  </si>
  <si>
    <t xml:space="preserve">Counts per screen, filled in automatically from your statuses.</t>
  </si>
  <si>
    <t xml:space="preserve">Not in this sheet</t>
  </si>
  <si>
    <t xml:space="preserve">Result email</t>
  </si>
  <si>
    <t xml:space="preserve">The email with the visitor's result is sent in English whatever language they picked, by design, so it isn't here.</t>
  </si>
  <si>
    <t xml:space="preserve">Brand &amp; proper names</t>
  </si>
  <si>
    <t xml:space="preserve">ReCOGnAIze, Gray Matter Solutions, IHH Healthcare Singapore, BrainScan and the press logos are shown as they are and are not listed separately.</t>
  </si>
  <si>
    <t xml:space="preserve">Review progress by screen</t>
  </si>
  <si>
    <t xml:space="preserve">Counts update as statuses are filled in. Preview (grey) rows are not counted.</t>
  </si>
  <si>
    <t xml:space="preserve">Screen</t>
  </si>
  <si>
    <t xml:space="preserve">Strings</t>
  </si>
  <si>
    <t xml:space="preserve">reviewed</t>
  </si>
  <si>
    <t xml:space="preserve">OK</t>
  </si>
  <si>
    <t xml:space="preserve">change needed</t>
  </si>
  <si>
    <t xml:space="preserve">question</t>
  </si>
  <si>
    <t xml:space="preserve">% reviewed</t>
  </si>
  <si>
    <t xml:space="preserve">1 · Landing (/parkwayshenton)</t>
  </si>
  <si>
    <t xml:space="preserve">2 · What happens next (/parkwayshenton/ready)</t>
  </si>
  <si>
    <t xml:space="preserve">3 · Game intro (/parkwayshenton/challenge)</t>
  </si>
  <si>
    <t xml:space="preserve">4 · Tutorial &amp; game (/symbol-matching)</t>
  </si>
  <si>
    <t xml:space="preserve">5 · Game complete (/parkwayshenton/game-complete)</t>
  </si>
  <si>
    <t xml:space="preserve">6 · Brain health quiz (/parkwayshenton/quiz)</t>
  </si>
  <si>
    <t xml:space="preserve">7 · Building your profile (/parkwayshenton/loading)</t>
  </si>
  <si>
    <t xml:space="preserve">8 · Report (/parkwayshenton/report)</t>
  </si>
  <si>
    <t xml:space="preserve">9 · Not linked (optional): /parkwayshenton/report-full</t>
  </si>
  <si>
    <t xml:space="preserve">Total</t>
  </si>
  <si>
    <t xml:space="preserve">ReCOGnAIze · /parkwayshenton: English → Malay (Bahasa Melayu) review</t>
  </si>
  <si>
    <t xml:space="preserve">Fill in the yellow columns only (Status, Suggested text, Comments). Grey rows are previews of how split lines read when joined; orange cells stay in English.</t>
  </si>
  <si>
    <t xml:space="preserve">ID</t>
  </si>
  <si>
    <t xml:space="preserve">Section</t>
  </si>
  <si>
    <t xml:space="preserve">What it is</t>
  </si>
  <si>
    <t xml:space="preserve">English (source)</t>
  </si>
  <si>
    <t xml:space="preserve">Notes for translator</t>
  </si>
  <si>
    <t xml:space="preserve">Browser tab &amp; link preview</t>
  </si>
  <si>
    <t xml:space="preserve">Browser tab title</t>
  </si>
  <si>
    <t xml:space="preserve">Brain Health Check | ReCOGnAIze</t>
  </si>
  <si>
    <t xml:space="preserve">Pemeriksaan Kesihatan Otak | ReCOGnAIze</t>
  </si>
  <si>
    <t xml:space="preserve">Search result description</t>
  </si>
  <si>
    <t xml:space="preserve">You track your heart, your sleep, your blood sugar. This is the same idea for your brain: a 3-minute check and a score you can act on.</t>
  </si>
  <si>
    <t xml:space="preserve">Anda pantau jantung, tidur dan gula dalam darah. Ini idea yang sama untuk otak anda: pemeriksaan 3 minit dan skor yang boleh anda gunakan.</t>
  </si>
  <si>
    <t xml:space="preserve">Not on screen: shown by Google and link previews.</t>
  </si>
  <si>
    <t xml:space="preserve">Link preview title</t>
  </si>
  <si>
    <t xml:space="preserve">You tracked everything. What about your brain?</t>
  </si>
  <si>
    <t xml:space="preserve">Anda pantau segalanya. Bagaimana dengan otak anda?</t>
  </si>
  <si>
    <t xml:space="preserve">Not on screen: shown when the link is shared (WhatsApp etc.).</t>
  </si>
  <si>
    <t xml:space="preserve">Link preview description</t>
  </si>
  <si>
    <t xml:space="preserve">Take a 3-min quiz and find out how your brain is performing.</t>
  </si>
  <si>
    <t xml:space="preserve">Ambil kuiz 3 minit dan ketahui prestasi otak anda.</t>
  </si>
  <si>
    <t xml:space="preserve">Not on screen: shown when the link is shared.</t>
  </si>
  <si>
    <t xml:space="preserve">Hero</t>
  </si>
  <si>
    <t xml:space="preserve">Credibility pill (top)</t>
  </si>
  <si>
    <t xml:space="preserve">Clinically validated at NTU LKCMedicine</t>
  </si>
  <si>
    <t xml:space="preserve">Disahkan secara klinikal di NTU LKCMedicine</t>
  </si>
  <si>
    <t xml:space="preserve">P1</t>
  </si>
  <si>
    <t xml:space="preserve">Headline, as shown (two lines)</t>
  </si>
  <si>
    <t xml:space="preserve">You tracked everything / What about your brain?</t>
  </si>
  <si>
    <t xml:space="preserve">Anda pantau segalanya / Bagaimana dengan otak anda?</t>
  </si>
  <si>
    <t xml:space="preserve">Preview only. " / " marks the line break. Italic words: heroLine1Emph and heroLine2Emph. Put corrections on the rows below.</t>
  </si>
  <si>
    <t xml:space="preserve">Headline line 1 — start</t>
  </si>
  <si>
    <t xml:space="preserve">You tracked </t>
  </si>
  <si>
    <t xml:space="preserve">Anda pantau </t>
  </si>
  <si>
    <t xml:space="preserve">Fragment. Followed directly by the italic word on the next row.</t>
  </si>
  <si>
    <t xml:space="preserve">Headline line 1 — italic word</t>
  </si>
  <si>
    <t xml:space="preserve">everything</t>
  </si>
  <si>
    <t xml:space="preserve">segalanya</t>
  </si>
  <si>
    <t xml:space="preserve">Fragment, set in italics.</t>
  </si>
  <si>
    <t xml:space="preserve">Headline line 2 — start</t>
  </si>
  <si>
    <t xml:space="preserve">What about your </t>
  </si>
  <si>
    <t xml:space="preserve">Bagaimana dengan </t>
  </si>
  <si>
    <t xml:space="preserve">Headline line 2 — italic word</t>
  </si>
  <si>
    <t xml:space="preserve">brain</t>
  </si>
  <si>
    <t xml:space="preserve">otak</t>
  </si>
  <si>
    <t xml:space="preserve">Headline line 2 — end</t>
  </si>
  <si>
    <t xml:space="preserve">?</t>
  </si>
  <si>
    <t xml:space="preserve"> anda?</t>
  </si>
  <si>
    <t xml:space="preserve">Fragment. Closes line 2.</t>
  </si>
  <si>
    <t xml:space="preserve">Sub-headline</t>
  </si>
  <si>
    <t xml:space="preserve">Take a 3-min quiz and find out how your brain is performing</t>
  </si>
  <si>
    <t xml:space="preserve">Ambil kuiz 3 minit dan ketahui prestasi otak anda</t>
  </si>
  <si>
    <t xml:space="preserve">Language picker</t>
  </si>
  <si>
    <t xml:space="preserve">Picker label (screen readers)</t>
  </si>
  <si>
    <t xml:space="preserve">Choose your language</t>
  </si>
  <si>
    <t xml:space="preserve">Pilih bahasa anda</t>
  </si>
  <si>
    <t xml:space="preserve">Read aloud by screen readers; not printed on screen.</t>
  </si>
  <si>
    <t xml:space="preserve">Language names on the picker</t>
  </si>
  <si>
    <t xml:space="preserve">Bahasa Melayu</t>
  </si>
  <si>
    <t xml:space="preserve">Each language's name is written in that language, and the picker shows all three whichever is selected. Only check that Bahasa Melayu is the name you'd expect.</t>
  </si>
  <si>
    <t xml:space="preserve">Sign-up form</t>
  </si>
  <si>
    <t xml:space="preserve">Name field placeholder</t>
  </si>
  <si>
    <t xml:space="preserve">Your name</t>
  </si>
  <si>
    <t xml:space="preserve">Nama anda</t>
  </si>
  <si>
    <t xml:space="preserve">Name field label (screen readers)</t>
  </si>
  <si>
    <t xml:space="preserve">Name</t>
  </si>
  <si>
    <t xml:space="preserve">Nama</t>
  </si>
  <si>
    <t xml:space="preserve">Email field placeholder</t>
  </si>
  <si>
    <t xml:space="preserve">your@email.com</t>
  </si>
  <si>
    <t xml:space="preserve">anda@emel.com</t>
  </si>
  <si>
    <t xml:space="preserve">An example address, not a sentence.</t>
  </si>
  <si>
    <t xml:space="preserve">Email field label (screen readers)</t>
  </si>
  <si>
    <t xml:space="preserve">Email</t>
  </si>
  <si>
    <t xml:space="preserve">E-mel</t>
  </si>
  <si>
    <t xml:space="preserve">Consent 1 · Gray Matter Solutions</t>
  </si>
  <si>
    <t xml:space="preserve">Line above the first tickbox</t>
  </si>
  <si>
    <t xml:space="preserve">I hereby confirm that I am submitting this form:</t>
  </si>
  <si>
    <t xml:space="preserve">Saya dengan ini mengesahkan bahawa saya menghantar borang ini:</t>
  </si>
  <si>
    <t xml:space="preserve">Tickbox 1 — first sentence</t>
  </si>
  <si>
    <t xml:space="preserve">On my own behalf; or on behalf of another person, and I confirm that I am authorized to provide the answers in this form.</t>
  </si>
  <si>
    <t xml:space="preserve">Bagi pihak diri saya sendiri; atau bagi pihak orang lain, dan saya mengesahkan bahawa saya diberi kuasa untuk memberikan jawapan dalam borang ini.</t>
  </si>
  <si>
    <t xml:space="preserve">Tickbox 1 — second sentence (in bold)</t>
  </si>
  <si>
    <t xml:space="preserve">By registering, I consent for Gray Matter Solutions to contact me with emails and newsletters.</t>
  </si>
  <si>
    <t xml:space="preserve">Dengan mendaftar, saya bersetuju untuk dihubungi oleh Gray Matter Solutions melalui e-mel dan surat berita.</t>
  </si>
  <si>
    <t xml:space="preserve">Required consent. Printed in bold.</t>
  </si>
  <si>
    <t xml:space="preserve">Consent 2 · IHH Healthcare Singapore (legal)</t>
  </si>
  <si>
    <t xml:space="preserve">Label above the second tickbox</t>
  </si>
  <si>
    <t xml:space="preserve">We need your consent on</t>
  </si>
  <si>
    <t xml:space="preserve">Kami perlukan kebenaran anda</t>
  </si>
  <si>
    <t xml:space="preserve">The rows after this one are IHH's consent. English is IHH's own legal wording; the Malay is our in-house translation of it, not IHH's, so it must say exactly what the English says, no more and no less.</t>
  </si>
  <si>
    <t xml:space="preserve">P2</t>
  </si>
  <si>
    <t xml:space="preserve">Clause 1, as shown</t>
  </si>
  <si>
    <t xml:space="preserve">By providing the information set out in this form, I consent to IHH Healthcare Singapore and their representatives and/or agents collecting, using and disclosing my personal data to provide me with medical treatment and other reasonably related purposes. Such purposes are set out in the IHH Healthcare Singapore Data Protection Notice, or available on request.</t>
  </si>
  <si>
    <t xml:space="preserve">Dengan memberikan maklumat yang dinyatakan dalam borang ini, saya bersetuju untuk IHH Healthcare Singapore serta wakil dan/atau ejen mereka mengumpul, menggunakan dan mendedahkan data peribadi saya bagi memberikan rawatan perubatan kepada saya dan bagi tujuan lain yang berkaitan secara munasabah. Tujuan-tujuan tersebut dinyatakan dalam Notis Perlindungan Data IHH Healthcare Singapore, atau boleh didapati atas permintaan.</t>
  </si>
  <si>
    <t xml:space="preserve">LEGAL TEXT (IHH): must say exactly what the English says. See How to use. Preview only: the three rows below joined. The notice's name is a link.</t>
  </si>
  <si>
    <t xml:space="preserve">Clause 1 — start</t>
  </si>
  <si>
    <t xml:space="preserve">By providing the information set out in this form, I consent to IHH Healthcare Singapore and their representatives and/or agents collecting, using and disclosing my personal data to provide me with medical treatment and other reasonably related purposes. Such purposes are set out in the </t>
  </si>
  <si>
    <t xml:space="preserve">Dengan memberikan maklumat yang dinyatakan dalam borang ini, saya bersetuju untuk IHH Healthcare Singapore serta wakil dan/atau ejen mereka mengumpul, menggunakan dan mendedahkan data peribadi saya bagi memberikan rawatan perubatan kepada saya dan bagi tujuan lain yang berkaitan secara munasabah. Tujuan-tujuan tersebut dinyatakan dalam </t>
  </si>
  <si>
    <t xml:space="preserve">LEGAL TEXT (IHH): must say exactly what the English says. See How to use. Fragment: followed directly by the notice's name.</t>
  </si>
  <si>
    <t xml:space="preserve">Clause 1 — name of IHH's notice (link)</t>
  </si>
  <si>
    <t xml:space="preserve">IHH Healthcare Singapore Data Protection Notice</t>
  </si>
  <si>
    <t xml:space="preserve">Notis Perlindungan Data IHH Healthcare Singapore</t>
  </si>
  <si>
    <t xml:space="preserve">LEGAL TEXT (IHH): must say exactly what the English says. See How to use. Fragment: shown underlined, as a link.</t>
  </si>
  <si>
    <t xml:space="preserve">Clause 1 — end</t>
  </si>
  <si>
    <t xml:space="preserve">, or available on request.</t>
  </si>
  <si>
    <t xml:space="preserve">, atau boleh didapati atas permintaan.</t>
  </si>
  <si>
    <t xml:space="preserve">LEGAL TEXT (IHH): must say exactly what the English says. See How to use. Fragment: closes clause 1.</t>
  </si>
  <si>
    <t xml:space="preserve">Clause 2 — marketing</t>
  </si>
  <si>
    <t xml:space="preserve">I also consent to IHH Healthcare Singapore, their representatives, agents and/or business partners collecting, using and disclosing my personal data for marketing and promotional purposes.</t>
  </si>
  <si>
    <t xml:space="preserve">Saya juga bersetuju untuk IHH Healthcare Singapore, wakil, ejen dan/atau rakan niaga mereka mengumpul, menggunakan dan mendedahkan data peribadi saya bagi tujuan pemasaran dan promosi.</t>
  </si>
  <si>
    <t xml:space="preserve">LEGAL TEXT (IHH): must say exactly what the English says. See How to use.</t>
  </si>
  <si>
    <t xml:space="preserve">Clause 3 — Do-Not-Call</t>
  </si>
  <si>
    <t xml:space="preserve">I agree to receiving marketing messages via SMS, telephone call and other Singapore phone number-based messaging, regardless of my registration with the Do-Not-Call registry.</t>
  </si>
  <si>
    <t xml:space="preserve">Saya bersetuju untuk menerima mesej pemasaran melalui SMS, panggilan telefon dan perkhidmatan pesanan lain yang berasaskan nombor telefon Singapura, tanpa mengira sama ada saya berdaftar dengan Daftar Jangan Hubungi (Do-Not-Call Registry).</t>
  </si>
  <si>
    <t xml:space="preserve">LEGAL TEXT (IHH): must say exactly what the English says. See How to use. "Do-Not-Call Registry" is kept in English in brackets on purpose, so it's clear which registry is meant.</t>
  </si>
  <si>
    <t xml:space="preserve">Error messages (form)</t>
  </si>
  <si>
    <t xml:space="preserve">No name entered</t>
  </si>
  <si>
    <t xml:space="preserve">Please enter your name.</t>
  </si>
  <si>
    <t xml:space="preserve">Sila masukkan nama anda.</t>
  </si>
  <si>
    <t xml:space="preserve">Invalid email</t>
  </si>
  <si>
    <t xml:space="preserve">Please enter a valid email address.</t>
  </si>
  <si>
    <t xml:space="preserve">Sila masukkan alamat e-mel yang sah.</t>
  </si>
  <si>
    <t xml:space="preserve">Tickbox 1 not ticked</t>
  </si>
  <si>
    <t xml:space="preserve">Please agree to the required consent to continue.</t>
  </si>
  <si>
    <t xml:space="preserve">Sila setujui kebenaran yang diperlukan untuk meneruskan.</t>
  </si>
  <si>
    <t xml:space="preserve">Tickbox 2 not ticked</t>
  </si>
  <si>
    <t xml:space="preserve">Please also agree to IHH Healthcare Singapore's consent to continue.</t>
  </si>
  <si>
    <t xml:space="preserve">Sila juga bersetuju dengan kebenaran IHH Healthcare Singapore untuk meneruskan.</t>
  </si>
  <si>
    <t xml:space="preserve">"IHH Healthcare Singapore" stays in English as a proper name.</t>
  </si>
  <si>
    <t xml:space="preserve">Save failed</t>
  </si>
  <si>
    <t xml:space="preserve">We couldn't save that. Please try again.</t>
  </si>
  <si>
    <t xml:space="preserve">Kami tidak dapat menyimpannya. Sila cuba lagi.</t>
  </si>
  <si>
    <t xml:space="preserve">Start button</t>
  </si>
  <si>
    <t xml:space="preserve">Button</t>
  </si>
  <si>
    <t xml:space="preserve">Button while saving</t>
  </si>
  <si>
    <t xml:space="preserve">Saving…</t>
  </si>
  <si>
    <t xml:space="preserve">Menyimpan…</t>
  </si>
  <si>
    <t xml:space="preserve">Press rail</t>
  </si>
  <si>
    <t xml:space="preserve">Label over the press logos</t>
  </si>
  <si>
    <t xml:space="preserve">As featured in</t>
  </si>
  <si>
    <t xml:space="preserve">Disiarkan di</t>
  </si>
  <si>
    <t xml:space="preserve">P3</t>
  </si>
  <si>
    <t xml:space="preserve">Fine print (below the video)</t>
  </si>
  <si>
    <t xml:space="preserve">Paragraph 1, as shown</t>
  </si>
  <si>
    <t xml:space="preserve">By registering, you agree for Gray Matter Solutions Pte Ltd and its related corporations and/or third-party service providers to collect, store, process and/or disclose your personal data for the purpose of sending you your assessment results, electronic direct mailers (EDMs), newsletters, and invitations to talks and events organised by us. You can unsubscribe at any time by clicking the link in the footer of our emails. For more information about our privacy practices, refer to our Privacy Policy.</t>
  </si>
  <si>
    <t xml:space="preserve">Dengan mendaftar, anda bersetuju untuk Gray Matter Solutions Pte Ltd dan syarikat berkaitannya dan/atau penyedia perkhidmatan pihak ketiga mengumpul, menyimpan, memproses dan/atau mendedahkan data peribadi anda bagi tujuan menghantar keputusan penilaian anda, mel terus elektronik (EDM), surat berita, serta jemputan ke ceramah dan acara yang dianjurkan oleh kami. Anda boleh berhenti melanggan pada bila-bila masa dengan mengklik pautan di bahagian bawah e-mel kami. Untuk maklumat lanjut tentang amalan privasi kami, rujuk Dasar Privasi kami.</t>
  </si>
  <si>
    <t xml:space="preserve">Preview only: the three rows below joined. The policy name is a link.</t>
  </si>
  <si>
    <t xml:space="preserve">Paragraph 1 — start</t>
  </si>
  <si>
    <t xml:space="preserve">By registering, you agree for Gray Matter Solutions Pte Ltd and its related corporations and/or third-party service providers to collect, store, process and/or disclose your personal data for the purpose of sending you your assessment results, electronic direct mailers (EDMs), newsletters, and invitations to talks and events organised by us. You can unsubscribe at any time by clicking the link in the footer of our emails. For more information about our privacy practices, refer to our </t>
  </si>
  <si>
    <t xml:space="preserve">Dengan mendaftar, anda bersetuju untuk Gray Matter Solutions Pte Ltd dan syarikat berkaitannya dan/atau penyedia perkhidmatan pihak ketiga mengumpul, menyimpan, memproses dan/atau mendedahkan data peribadi anda bagi tujuan menghantar keputusan penilaian anda, mel terus elektronik (EDM), surat berita, serta jemputan ke ceramah dan acara yang dianjurkan oleh kami. Anda boleh berhenti melanggan pada bila-bila masa dengan mengklik pautan di bahagian bawah e-mel kami. Untuk maklumat lanjut tentang amalan privasi kami, rujuk </t>
  </si>
  <si>
    <t xml:space="preserve">Fragment: followed directly by the policy name.</t>
  </si>
  <si>
    <t xml:space="preserve">Paragraph 1 — policy name (link)</t>
  </si>
  <si>
    <t xml:space="preserve">Privacy Policy</t>
  </si>
  <si>
    <t xml:space="preserve">Dasar Privasi</t>
  </si>
  <si>
    <t xml:space="preserve">Fragment: underlined, as a link.</t>
  </si>
  <si>
    <t xml:space="preserve">Paragraph 1 — end</t>
  </si>
  <si>
    <t xml:space="preserve">.</t>
  </si>
  <si>
    <t xml:space="preserve"> kami.</t>
  </si>
  <si>
    <t xml:space="preserve">Fragment: closes paragraph 1.</t>
  </si>
  <si>
    <t xml:space="preserve">Paragraph 2 — Mailchimp notice</t>
  </si>
  <si>
    <t xml:space="preserve">We use Mailchimp as our marketing platform. By registering you acknowledge that your information will be transferred to Mailchimp for processing.</t>
  </si>
  <si>
    <t xml:space="preserve">Kami menggunakan Mailchimp sebagai platform pemasaran kami. Dengan mendaftar, anda mengakui bahawa maklumat anda akan dipindahkan kepada Mailchimp untuk diproses.</t>
  </si>
  <si>
    <t xml:space="preserve">P4</t>
  </si>
  <si>
    <t xml:space="preserve">Paragraph 3 — IHH withdrawal note, as shown</t>
  </si>
  <si>
    <t xml:space="preserve">I understand that I may withdraw such consent at any time via unsubscribe facilities OR forms available on request from our staff OR by email to IHH Healthcare Singapore DPO at pdpo@ihhhealthcare.com</t>
  </si>
  <si>
    <t xml:space="preserve">Saya faham bahawa saya boleh menarik balik kebenaran tersebut pada bila-bila masa melalui kemudahan berhenti melanggan ATAU borang yang boleh didapati daripada kakitangan kami atas permintaan ATAU melalui e-mel kepada Pegawai Perlindungan Data (DPO) IHH Healthcare Singapore di pdpo@ihhhealthcare.com</t>
  </si>
  <si>
    <t xml:space="preserve">LEGAL TEXT (IHH): must say exactly what the English says. See How to use. Preview only: the row below with the email address added.</t>
  </si>
  <si>
    <t xml:space="preserve">Paragraph 3 — IHH withdrawal note</t>
  </si>
  <si>
    <t xml:space="preserve">I understand that I may withdraw such consent at any time via unsubscribe facilities OR forms available on request from our staff OR by email to IHH Healthcare Singapore DPO at </t>
  </si>
  <si>
    <t xml:space="preserve">Saya faham bahawa saya boleh menarik balik kebenaran tersebut pada bila-bila masa melalui kemudahan berhenti melanggan ATAU borang yang boleh didapati daripada kakitangan kami atas permintaan ATAU melalui e-mel kepada Pegawai Perlindungan Data (DPO) IHH Healthcare Singapore di </t>
  </si>
  <si>
    <t xml:space="preserve">LEGAL TEXT (IHH): must say exactly what the English says. See How to use. The sentence ends on IHH's DPO email address (pdpo@ihhhealthcare.com), which the page adds as a link.</t>
  </si>
  <si>
    <t xml:space="preserve">P5</t>
  </si>
  <si>
    <t xml:space="preserve">Trust band (bottom)</t>
  </si>
  <si>
    <t xml:space="preserve">Trust line, as shown</t>
  </si>
  <si>
    <t xml:space="preserve">Based on the 2024 Lancet Commission risk model and the CAIDE dementia risk score.</t>
  </si>
  <si>
    <t xml:space="preserve">Berasaskan model risiko Suruhanjaya Lancet 2024 dan skor risiko demensia CAIDE.</t>
  </si>
  <si>
    <t xml:space="preserve">Preview only: the five rows below joined. Bold parts: trustStrong1 and trustStrong2.</t>
  </si>
  <si>
    <t xml:space="preserve">Trust line — start</t>
  </si>
  <si>
    <t xml:space="preserve">Based on the </t>
  </si>
  <si>
    <t xml:space="preserve">Berasaskan model risiko </t>
  </si>
  <si>
    <t xml:space="preserve">Fragment.</t>
  </si>
  <si>
    <t xml:space="preserve">Trust line — bold part 1</t>
  </si>
  <si>
    <t xml:space="preserve">2024 Lancet Commission</t>
  </si>
  <si>
    <t xml:space="preserve">Suruhanjaya Lancet 2024</t>
  </si>
  <si>
    <t xml:space="preserve">Fragment, in bold.</t>
  </si>
  <si>
    <t xml:space="preserve">Trust line — middle</t>
  </si>
  <si>
    <t xml:space="preserve"> risk model and the </t>
  </si>
  <si>
    <t xml:space="preserve"> dan </t>
  </si>
  <si>
    <t xml:space="preserve">Trust line — bold part 2</t>
  </si>
  <si>
    <t xml:space="preserve">CAIDE dementia risk score</t>
  </si>
  <si>
    <t xml:space="preserve">skor risiko demensia CAIDE</t>
  </si>
  <si>
    <t xml:space="preserve">Trust line — end</t>
  </si>
  <si>
    <t xml:space="preserve">What happens next | ReCOGnAIze</t>
  </si>
  <si>
    <t xml:space="preserve">Apa yang seterusnya | ReCOGnAIze</t>
  </si>
  <si>
    <t xml:space="preserve">P6</t>
  </si>
  <si>
    <t xml:space="preserve">Heading, as shown</t>
  </si>
  <si>
    <t xml:space="preserve">In the next 3 mins</t>
  </si>
  <si>
    <t xml:space="preserve">Dalam masa 3 minit</t>
  </si>
  <si>
    <t xml:space="preserve">Preview only. The two rows below are set side by side, the second one larger.</t>
  </si>
  <si>
    <t xml:space="preserve">Heading — first part</t>
  </si>
  <si>
    <t xml:space="preserve">In the next</t>
  </si>
  <si>
    <t xml:space="preserve">Dalam masa</t>
  </si>
  <si>
    <t xml:space="preserve">Heading — duration (large)</t>
  </si>
  <si>
    <t xml:space="preserve">3 mins</t>
  </si>
  <si>
    <t xml:space="preserve">3 minit</t>
  </si>
  <si>
    <t xml:space="preserve">Step 1</t>
  </si>
  <si>
    <t xml:space="preserve">Play a 60-second cognitive game</t>
  </si>
  <si>
    <t xml:space="preserve">Main satu permainan kognitif 60 saat</t>
  </si>
  <si>
    <t xml:space="preserve">Step 2</t>
  </si>
  <si>
    <t xml:space="preserve">Take a medically-backed quiz on brain health risk factors</t>
  </si>
  <si>
    <t xml:space="preserve">Jawab kuiz berasaskan perubatan tentang faktor risiko kesihatan otak</t>
  </si>
  <si>
    <t xml:space="preserve">Step 3</t>
  </si>
  <si>
    <t xml:space="preserve">See how you compare to people your age</t>
  </si>
  <si>
    <t xml:space="preserve">Lihat perbandingan anda dengan orang sebaya</t>
  </si>
  <si>
    <t xml:space="preserve">Step 2 picture — top label</t>
  </si>
  <si>
    <t xml:space="preserve">Several times</t>
  </si>
  <si>
    <t xml:space="preserve">Beberapa kali</t>
  </si>
  <si>
    <t xml:space="preserve">Tiny label (8.5px) on a sample answer scale. Keep it short.</t>
  </si>
  <si>
    <t xml:space="preserve">Step 2 picture — bottom label</t>
  </si>
  <si>
    <t xml:space="preserve">Not that noticeable</t>
  </si>
  <si>
    <t xml:space="preserve">Tidak ketara</t>
  </si>
  <si>
    <t xml:space="preserve">Step 3 picture — left label</t>
  </si>
  <si>
    <t xml:space="preserve">Weak</t>
  </si>
  <si>
    <t xml:space="preserve">Lemah</t>
  </si>
  <si>
    <t xml:space="preserve">Tiny label on a sample bell curve. Keep it to one short word.</t>
  </si>
  <si>
    <t xml:space="preserve">Step 3 picture — right label</t>
  </si>
  <si>
    <t xml:space="preserve">Adequate</t>
  </si>
  <si>
    <t xml:space="preserve">Memadai</t>
  </si>
  <si>
    <t xml:space="preserve">Line above the closing (italic)</t>
  </si>
  <si>
    <t xml:space="preserve">And most importantly,</t>
  </si>
  <si>
    <t xml:space="preserve">Dan yang paling penting,</t>
  </si>
  <si>
    <t xml:space="preserve">Closing line (large)</t>
  </si>
  <si>
    <t xml:space="preserve">Learn how you can improve</t>
  </si>
  <si>
    <t xml:space="preserve">Ketahui cara anda boleh bertambah baik</t>
  </si>
  <si>
    <t xml:space="preserve">I'm ready!</t>
  </si>
  <si>
    <t xml:space="preserve">Saya sedia!</t>
  </si>
  <si>
    <t xml:space="preserve">Reaction time challenge | ReCOGnAIze</t>
  </si>
  <si>
    <t xml:space="preserve">Cabaran masa reaksi | ReCOGnAIze</t>
  </si>
  <si>
    <t xml:space="preserve">Step label (small caps)</t>
  </si>
  <si>
    <t xml:space="preserve">Step 1 of 3</t>
  </si>
  <si>
    <t xml:space="preserve">Langkah 1 daripada 3</t>
  </si>
  <si>
    <t xml:space="preserve">Heading</t>
  </si>
  <si>
    <t xml:space="preserve">Reaction time challenge</t>
  </si>
  <si>
    <t xml:space="preserve">Cabaran masa reaksi</t>
  </si>
  <si>
    <t xml:space="preserve">P7</t>
  </si>
  <si>
    <t xml:space="preserve">Body, as shown</t>
  </si>
  <si>
    <t xml:space="preserve">How fast does your brain process? Match as many symbols to their numbers as you can in 60 seconds.</t>
  </si>
  <si>
    <t xml:space="preserve">Berapa pantas otak anda memproses maklumat? Padankan sebanyak mungkin simbol dengan nombornya dalam masa 60 saat.</t>
  </si>
  <si>
    <t xml:space="preserve">Preview only: the three rows below joined. The middle word is bold.</t>
  </si>
  <si>
    <t xml:space="preserve">Body — start</t>
  </si>
  <si>
    <t xml:space="preserve">How </t>
  </si>
  <si>
    <t xml:space="preserve">Berapa </t>
  </si>
  <si>
    <t xml:space="preserve">Body — bold word</t>
  </si>
  <si>
    <t xml:space="preserve">fast</t>
  </si>
  <si>
    <t xml:space="preserve">pantas</t>
  </si>
  <si>
    <t xml:space="preserve">Body — end</t>
  </si>
  <si>
    <t xml:space="preserve"> does your brain process? Match as many symbols to their numbers as you can in 60 seconds.</t>
  </si>
  <si>
    <t xml:space="preserve"> otak anda memproses maklumat? Padankan sebanyak mungkin simbol dengan nombornya dalam masa 60 saat.</t>
  </si>
  <si>
    <t xml:space="preserve">Badge on the self-playing demo</t>
  </si>
  <si>
    <t xml:space="preserve">Demo · plays itself</t>
  </si>
  <si>
    <t xml:space="preserve">Demo · main sendiri</t>
  </si>
  <si>
    <t xml:space="preserve">Start tutorial</t>
  </si>
  <si>
    <t xml:space="preserve">Mula tutorial</t>
  </si>
  <si>
    <t xml:space="preserve">Tutorial (/symbol-matching/demo)</t>
  </si>
  <si>
    <t xml:space="preserve">"Demo" badge</t>
  </si>
  <si>
    <t xml:space="preserve">Demo</t>
  </si>
  <si>
    <t xml:space="preserve">Score label</t>
  </si>
  <si>
    <t xml:space="preserve">Score:</t>
  </si>
  <si>
    <t xml:space="preserve">Skor:</t>
  </si>
  <si>
    <t xml:space="preserve">Followed by the score. Also shown during the real game.</t>
  </si>
  <si>
    <t xml:space="preserve">Tutorial step 1</t>
  </si>
  <si>
    <t xml:space="preserve">Focus on the symbol at the top of the screen.</t>
  </si>
  <si>
    <t xml:space="preserve">Fokus pada simbol di bahagian atas skrin.</t>
  </si>
  <si>
    <t xml:space="preserve">Tutorial step 2</t>
  </si>
  <si>
    <t xml:space="preserve">Look for the matching symbol and its number. Here, it is 7.</t>
  </si>
  <si>
    <t xml:space="preserve">Cari simbol yang sepadan dan nombornya. Di sini, ia adalah 7.</t>
  </si>
  <si>
    <t xml:space="preserve">Tutorial step 3 (phone / tablet)</t>
  </si>
  <si>
    <t xml:space="preserve">Screens narrower than 1024px (phones, most tablets)</t>
  </si>
  <si>
    <t xml:space="preserve">Tap “7” in the number pad below.</t>
  </si>
  <si>
    <t xml:space="preserve">Ketik "7" dalam pad nombor di bawah.</t>
  </si>
  <si>
    <t xml:space="preserve">Tutorial step 3 (computer)</t>
  </si>
  <si>
    <t xml:space="preserve">Screens 1024px and wider</t>
  </si>
  <si>
    <t xml:space="preserve">Click No. 7 on the number pad or type “7” on your keyboard</t>
  </si>
  <si>
    <t xml:space="preserve">Klik No. 7 pada pad nombor atau taip "7" pada papan kekunci anda.</t>
  </si>
  <si>
    <t xml:space="preserve">Tutorial step 4</t>
  </si>
  <si>
    <t xml:space="preserve">Be careful, the order of the symbols will change after every turn.</t>
  </si>
  <si>
    <t xml:space="preserve">Berhati-hati, susunan simbol akan berubah selepas setiap giliran.</t>
  </si>
  <si>
    <t xml:space="preserve">Tutorial step 5</t>
  </si>
  <si>
    <t xml:space="preserve">Now try out the next 3 rounds by yourself!</t>
  </si>
  <si>
    <t xml:space="preserve">Sekarang cuba 3 pusingan seterusnya sendiri!</t>
  </si>
  <si>
    <t xml:space="preserve">Tutorial button — back</t>
  </si>
  <si>
    <t xml:space="preserve">Tutorial steps 2 and 5</t>
  </si>
  <si>
    <t xml:space="preserve">Previous</t>
  </si>
  <si>
    <t xml:space="preserve">Sebelumnya</t>
  </si>
  <si>
    <t xml:space="preserve">Tutorial button — forward</t>
  </si>
  <si>
    <t xml:space="preserve">Tutorial steps 1, 2 and 4</t>
  </si>
  <si>
    <t xml:space="preserve">Next</t>
  </si>
  <si>
    <t xml:space="preserve">Seterusnya</t>
  </si>
  <si>
    <t xml:space="preserve">Tutorial button — start practice rounds</t>
  </si>
  <si>
    <t xml:space="preserve">Start demo</t>
  </si>
  <si>
    <t xml:space="preserve">Mula demo</t>
  </si>
  <si>
    <t xml:space="preserve">After the practice rounds</t>
  </si>
  <si>
    <t xml:space="preserve">Message</t>
  </si>
  <si>
    <t xml:space="preserve">Great!
Now it’s time to take the actual test.</t>
  </si>
  <si>
    <t xml:space="preserve">Bagus! Kini tiba masanya untuk mengambil ujian sebenar.</t>
  </si>
  <si>
    <t xml:space="preserve">English is two lines ("Great!" then the sentence). The Malay keeps "Bagus!" but puts it all on one line.</t>
  </si>
  <si>
    <t xml:space="preserve">Button — start the real game</t>
  </si>
  <si>
    <t xml:space="preserve">Start test</t>
  </si>
  <si>
    <t xml:space="preserve">Mula ujian</t>
  </si>
  <si>
    <t xml:space="preserve">Button — repeat the practice</t>
  </si>
  <si>
    <t xml:space="preserve">Try again</t>
  </si>
  <si>
    <t xml:space="preserve">Cuba lagi</t>
  </si>
  <si>
    <t xml:space="preserve">Countdown (before the real game)</t>
  </si>
  <si>
    <t xml:space="preserve">Countdown title</t>
  </si>
  <si>
    <t xml:space="preserve">Countdown subtitle</t>
  </si>
  <si>
    <t xml:space="preserve">Match as many symbols to their numbers</t>
  </si>
  <si>
    <t xml:space="preserve">Padankan simbol dengan nombornya</t>
  </si>
  <si>
    <t xml:space="preserve">Right after the game (saving screen)</t>
  </si>
  <si>
    <t xml:space="preserve">Saving message</t>
  </si>
  <si>
    <t xml:space="preserve">Saving your result, please wait.</t>
  </si>
  <si>
    <t xml:space="preserve">Menyimpan keputusan anda, sila tunggu.</t>
  </si>
  <si>
    <t xml:space="preserve">Error heading</t>
  </si>
  <si>
    <t xml:space="preserve">Only if saving the result fails</t>
  </si>
  <si>
    <t xml:space="preserve">Error saving your result.</t>
  </si>
  <si>
    <t xml:space="preserve">Ralat menyimpan keputusan anda.</t>
  </si>
  <si>
    <t xml:space="preserve">Error message</t>
  </si>
  <si>
    <t xml:space="preserve">Please check your internet connection and try again.</t>
  </si>
  <si>
    <t xml:space="preserve">Sila periksa sambungan internet anda dan cuba lagi.</t>
  </si>
  <si>
    <t xml:space="preserve">Retry button</t>
  </si>
  <si>
    <t xml:space="preserve">RETRY</t>
  </si>
  <si>
    <t xml:space="preserve">CUBA LAGI</t>
  </si>
  <si>
    <t xml:space="preserve">Button text; English is in capitals.</t>
  </si>
  <si>
    <t xml:space="preserve">Done heading</t>
  </si>
  <si>
    <t xml:space="preserve">Flashes for a moment before the next screen</t>
  </si>
  <si>
    <t xml:space="preserve">Assessment Complete</t>
  </si>
  <si>
    <t xml:space="preserve">Penilaian Selesai</t>
  </si>
  <si>
    <t xml:space="preserve">Done message</t>
  </si>
  <si>
    <t xml:space="preserve">Your report is ready to view.</t>
  </si>
  <si>
    <t xml:space="preserve">Laporan anda sedia untuk dilihat.</t>
  </si>
  <si>
    <t xml:space="preserve">Done button</t>
  </si>
  <si>
    <t xml:space="preserve">View report</t>
  </si>
  <si>
    <t xml:space="preserve">Lihat laporan</t>
  </si>
  <si>
    <t xml:space="preserve">Rare screens (English only today)</t>
  </si>
  <si>
    <t xml:space="preserve">Rare: reopening the game after it's already been played</t>
  </si>
  <si>
    <t xml:space="preserve">You've completed this game</t>
  </si>
  <si>
    <t xml:space="preserve">Hardcoded in English, so it shows in English whatever language was picked. Mark Change needed if it should be translated.</t>
  </si>
  <si>
    <t xml:space="preserve">Go Home</t>
  </si>
  <si>
    <t xml:space="preserve">Rare: opening the game page out of order</t>
  </si>
  <si>
    <t xml:space="preserve">Looking for something? 🔍</t>
  </si>
  <si>
    <t xml:space="preserve">Please finish the previous games before starting a new one!</t>
  </si>
  <si>
    <t xml:space="preserve">Game complete | ReCOGnAIze</t>
  </si>
  <si>
    <t xml:space="preserve">Permainan selesai | ReCOGnAIze</t>
  </si>
  <si>
    <t xml:space="preserve">Badge</t>
  </si>
  <si>
    <t xml:space="preserve">1 | Cognitive Game</t>
  </si>
  <si>
    <t xml:space="preserve">1 | Permainan Kognitif</t>
  </si>
  <si>
    <t xml:space="preserve">Game complete!</t>
  </si>
  <si>
    <t xml:space="preserve">Permainan selesai!</t>
  </si>
  <si>
    <t xml:space="preserve">P8</t>
  </si>
  <si>
    <t xml:space="preserve">Score line, as shown</t>
  </si>
  <si>
    <t xml:space="preserve">Correct symbols: 18</t>
  </si>
  <si>
    <t xml:space="preserve">Simbol betul: 18</t>
  </si>
  <si>
    <t xml:space="preserve">Preview only, with a sample score of 18. The page always puts a space before the number.</t>
  </si>
  <si>
    <t xml:space="preserve">Correct symbols:</t>
  </si>
  <si>
    <t xml:space="preserve">Simbol betul:</t>
  </si>
  <si>
    <t xml:space="preserve">Followed by a space and the number of correct symbols.</t>
  </si>
  <si>
    <t xml:space="preserve">"Next" label (small caps)</t>
  </si>
  <si>
    <t xml:space="preserve">What's next</t>
  </si>
  <si>
    <t xml:space="preserve">Continue</t>
  </si>
  <si>
    <t xml:space="preserve">Teruskan</t>
  </si>
  <si>
    <t xml:space="preserve">Around the questions</t>
  </si>
  <si>
    <t xml:space="preserve">Brain Health Quiz | ReCOGnAIze</t>
  </si>
  <si>
    <t xml:space="preserve">Kuiz Kesihatan Otak | ReCOGnAIze</t>
  </si>
  <si>
    <t xml:space="preserve">Progress label</t>
  </si>
  <si>
    <t xml:space="preserve">Question {current} of {total}</t>
  </si>
  <si>
    <t xml:space="preserve">Soalan {current} daripada {total}</t>
  </si>
  <si>
    <t xml:space="preserve">Keep {current} and {total} exactly as written: they become numbers.</t>
  </si>
  <si>
    <t xml:space="preserve">Back button</t>
  </si>
  <si>
    <t xml:space="preserve">← Back</t>
  </si>
  <si>
    <t xml:space="preserve">← Kembali</t>
  </si>
  <si>
    <t xml:space="preserve">Continue button</t>
  </si>
  <si>
    <t xml:space="preserve">Shown after the last answer</t>
  </si>
  <si>
    <t xml:space="preserve">Preparing your result…</t>
  </si>
  <si>
    <t xml:space="preserve">Menyediakan keputusan anda…</t>
  </si>
  <si>
    <t xml:space="preserve">Flashes briefly while the result is prepared.</t>
  </si>
  <si>
    <t xml:space="preserve">P9</t>
  </si>
  <si>
    <t xml:space="preserve">Q · Source pills under questions</t>
  </si>
  <si>
    <t xml:space="preserve">Source pill (caide), as shown</t>
  </si>
  <si>
    <t xml:space="preserve">Under the age and family-history questions</t>
  </si>
  <si>
    <t xml:space="preserve">CAIDE · Dementia Risk Score</t>
  </si>
  <si>
    <t xml:space="preserve">CAIDE · Skor Risiko Demensia</t>
  </si>
  <si>
    <t xml:space="preserve">Preview only. A small chip under the question: the source name (bold, always English) then the detail.</t>
  </si>
  <si>
    <t xml:space="preserve">Source pill — source name</t>
  </si>
  <si>
    <t xml:space="preserve">CAIDE</t>
  </si>
  <si>
    <t xml:space="preserve">Name of a paper or study, kept in English in every language on purpose so it can be looked up.</t>
  </si>
  <si>
    <t xml:space="preserve">Source pill — detail</t>
  </si>
  <si>
    <t xml:space="preserve">Dementia Risk Score</t>
  </si>
  <si>
    <t xml:space="preserve">Skor Risiko Demensia</t>
  </si>
  <si>
    <t xml:space="preserve">P10</t>
  </si>
  <si>
    <t xml:space="preserve">Source pill (straw10), as shown</t>
  </si>
  <si>
    <t xml:space="preserve">Under the hot-flushes question (female only)</t>
  </si>
  <si>
    <t xml:space="preserve">STRAW+10 · Reproductive Aging · 2012</t>
  </si>
  <si>
    <t xml:space="preserve">STRAW+10 · Penuaan Reproduktif · 2012</t>
  </si>
  <si>
    <t xml:space="preserve">STRAW+10</t>
  </si>
  <si>
    <t xml:space="preserve">Reproductive Aging · 2012</t>
  </si>
  <si>
    <t xml:space="preserve">Penuaan Reproduktif · 2012</t>
  </si>
  <si>
    <t xml:space="preserve">P11</t>
  </si>
  <si>
    <t xml:space="preserve">Source pill (lancet2024), as shown</t>
  </si>
  <si>
    <t xml:space="preserve">Under the "Some risk factors" page</t>
  </si>
  <si>
    <t xml:space="preserve">Lancet Commission · Dementia Prevention · 2024</t>
  </si>
  <si>
    <t xml:space="preserve">Lancet Commission · Pencegahan Demensia · 2024</t>
  </si>
  <si>
    <t xml:space="preserve">Lancet Commission</t>
  </si>
  <si>
    <t xml:space="preserve">Dementia Prevention · 2024</t>
  </si>
  <si>
    <t xml:space="preserve">Pencegahan Demensia · 2024</t>
  </si>
  <si>
    <t xml:space="preserve">P12</t>
  </si>
  <si>
    <t xml:space="preserve">Source pill (scd), as shown</t>
  </si>
  <si>
    <t xml:space="preserve">Under the "Changes you might have noticed" page and the two follow-up questions</t>
  </si>
  <si>
    <t xml:space="preserve">SCD literature · Subjective Cognitive Decline</t>
  </si>
  <si>
    <t xml:space="preserve">SCD literature · Literatur Kemerosotan Kognitif Subjektif</t>
  </si>
  <si>
    <t xml:space="preserve">SCD literature</t>
  </si>
  <si>
    <t xml:space="preserve">Subjective Cognitive Decline</t>
  </si>
  <si>
    <t xml:space="preserve">Literatur Kemerosotan Kognitif Subjektif</t>
  </si>
  <si>
    <t xml:space="preserve">Q · Age, sex, family</t>
  </si>
  <si>
    <t xml:space="preserve">Question (own page)</t>
  </si>
  <si>
    <t xml:space="preserve">What is your age?</t>
  </si>
  <si>
    <t xml:space="preserve">Berapa umur anda?</t>
  </si>
  <si>
    <t xml:space="preserve">Answer option</t>
  </si>
  <si>
    <t xml:space="preserve">18 to 29</t>
  </si>
  <si>
    <t xml:space="preserve">18 hingga 29</t>
  </si>
  <si>
    <t xml:space="preserve">30 to 39</t>
  </si>
  <si>
    <t xml:space="preserve">30 hingga 39</t>
  </si>
  <si>
    <t xml:space="preserve">40 to 49</t>
  </si>
  <si>
    <t xml:space="preserve">40 hingga 49</t>
  </si>
  <si>
    <t xml:space="preserve">50 to 59</t>
  </si>
  <si>
    <t xml:space="preserve">50 hingga 59</t>
  </si>
  <si>
    <t xml:space="preserve">60 and older</t>
  </si>
  <si>
    <t xml:space="preserve">60 dan ke atas</t>
  </si>
  <si>
    <t xml:space="preserve">What is your sex assigned at birth?</t>
  </si>
  <si>
    <t xml:space="preserve">Apakah jantina anda semasa lahir?</t>
  </si>
  <si>
    <t xml:space="preserve">Female</t>
  </si>
  <si>
    <t xml:space="preserve">Perempuan</t>
  </si>
  <si>
    <t xml:space="preserve">Male</t>
  </si>
  <si>
    <t xml:space="preserve">Lelaki</t>
  </si>
  <si>
    <t xml:space="preserve">Only if the answer to "sex" is female</t>
  </si>
  <si>
    <t xml:space="preserve">Have you noticed hot flushes, night sweats, or changes to your menstrual cycle?</t>
  </si>
  <si>
    <t xml:space="preserve">Pernahkah anda perasan rasa panas mendadak, berpeluh malam, atau perubahan haid?</t>
  </si>
  <si>
    <t xml:space="preserve">Yes</t>
  </si>
  <si>
    <t xml:space="preserve">Ya</t>
  </si>
  <si>
    <t xml:space="preserve">No</t>
  </si>
  <si>
    <t xml:space="preserve">Tidak</t>
  </si>
  <si>
    <t xml:space="preserve">Do you have a family history of dementia or Alzheimer's?</t>
  </si>
  <si>
    <t xml:space="preserve">Adakah anda mempunyai sejarah keluarga demensia atau Alzheimer?</t>
  </si>
  <si>
    <t xml:space="preserve">Yes, immediate family (parents or siblings)</t>
  </si>
  <si>
    <t xml:space="preserve">Ya, keluarga terdekat (ibu bapa atau adik-beradik)</t>
  </si>
  <si>
    <t xml:space="preserve">Yes, extended family (grandparents, aunts, and uncles)</t>
  </si>
  <si>
    <t xml:space="preserve">Ya, keluarga lanjutan (nenek kakek, bapa/emak saudara)</t>
  </si>
  <si>
    <t xml:space="preserve">I'm not sure</t>
  </si>
  <si>
    <t xml:space="preserve">Saya tidak pasti</t>
  </si>
  <si>
    <t xml:space="preserve">Q · Page: some risk factors</t>
  </si>
  <si>
    <t xml:space="preserve">Page heading</t>
  </si>
  <si>
    <t xml:space="preserve">Some risk factors</t>
  </si>
  <si>
    <t xml:space="preserve">Beberapa faktor risiko</t>
  </si>
  <si>
    <t xml:space="preserve">Line under the heading</t>
  </si>
  <si>
    <t xml:space="preserve">These are about your own health, not your family's.</t>
  </si>
  <si>
    <t xml:space="preserve">Soalan ini tentang kesihatan anda sendiri, bukan keluarga anda.</t>
  </si>
  <si>
    <t xml:space="preserve">Question</t>
  </si>
  <si>
    <t xml:space="preserve">High blood pressure?</t>
  </si>
  <si>
    <t xml:space="preserve">Tekanan darah tinggi?</t>
  </si>
  <si>
    <t xml:space="preserve">Not sure</t>
  </si>
  <si>
    <t xml:space="preserve">Tidak pasti</t>
  </si>
  <si>
    <t xml:space="preserve">High cholesterol?</t>
  </si>
  <si>
    <t xml:space="preserve">Kolesterol tinggi?</t>
  </si>
  <si>
    <t xml:space="preserve">Diabetes or pre-diabetes?</t>
  </si>
  <si>
    <t xml:space="preserve">Diabetes atau pra-diabetes?</t>
  </si>
  <si>
    <t xml:space="preserve">Untreated hearing loss?</t>
  </si>
  <si>
    <t xml:space="preserve">Kehilangan pendengaran tanpa rawatan?</t>
  </si>
  <si>
    <t xml:space="preserve">Hint under the question</t>
  </si>
  <si>
    <t xml:space="preserve">Without hearing aids or other support.</t>
  </si>
  <si>
    <t xml:space="preserve">Tanpa alat bantu pendengaran atau bantuan lain.</t>
  </si>
  <si>
    <t xml:space="preserve">Untreated vision loss?</t>
  </si>
  <si>
    <t xml:space="preserve">Kehilangan penglihatan tanpa rawatan?</t>
  </si>
  <si>
    <t xml:space="preserve">Uncorrected by glasses, lenses, or surgery.</t>
  </si>
  <si>
    <t xml:space="preserve">Tidak diperbetulkan dengan cermin mata, kanta atau pembedahan.</t>
  </si>
  <si>
    <t xml:space="preserve">Q · Page: your lifestyle</t>
  </si>
  <si>
    <t xml:space="preserve">Your lifestyle</t>
  </si>
  <si>
    <t xml:space="preserve">Gaya hidup anda</t>
  </si>
  <si>
    <t xml:space="preserve">Are you a current smoker, or were you a smoker within the last 10 years?</t>
  </si>
  <si>
    <t xml:space="preserve">Adakah anda merokok sekarang, atau pernah merokok dalam 10 tahun lepas?</t>
  </si>
  <si>
    <t xml:space="preserve">I currently smoke</t>
  </si>
  <si>
    <t xml:space="preserve">Saya merokok sekarang</t>
  </si>
  <si>
    <t xml:space="preserve">I smoked within the last 10 years</t>
  </si>
  <si>
    <t xml:space="preserve">Saya merokok dalam 10 tahun lepas</t>
  </si>
  <si>
    <t xml:space="preserve">Never, or longer than 10 years ago</t>
  </si>
  <si>
    <t xml:space="preserve">Tidak pernah, atau lebih 10 tahun lalu</t>
  </si>
  <si>
    <t xml:space="preserve">On average, how long do you sleep at night?</t>
  </si>
  <si>
    <t xml:space="preserve">Secara purata, berapa lama anda tidur pada waktu malam?</t>
  </si>
  <si>
    <t xml:space="preserve">Less than 6 hours</t>
  </si>
  <si>
    <t xml:space="preserve">Kurang daripada 6 jam</t>
  </si>
  <si>
    <t xml:space="preserve">6 to 7 hours</t>
  </si>
  <si>
    <t xml:space="preserve">6 hingga 7 jam</t>
  </si>
  <si>
    <t xml:space="preserve">7 to 9 hours</t>
  </si>
  <si>
    <t xml:space="preserve">7 hingga 9 jam</t>
  </si>
  <si>
    <t xml:space="preserve">More than 9 hours</t>
  </si>
  <si>
    <t xml:space="preserve">Lebih daripada 9 jam</t>
  </si>
  <si>
    <t xml:space="preserve">How much cardio exercise do you get per week?</t>
  </si>
  <si>
    <t xml:space="preserve">Berapa banyak senaman kardio anda lakukan setiap minggu?</t>
  </si>
  <si>
    <t xml:space="preserve">Less than 75 minutes</t>
  </si>
  <si>
    <t xml:space="preserve">Kurang daripada 75 minit</t>
  </si>
  <si>
    <t xml:space="preserve">75 to 149 minutes</t>
  </si>
  <si>
    <t xml:space="preserve">75 hingga 149 minit</t>
  </si>
  <si>
    <t xml:space="preserve">150 to 300 minutes</t>
  </si>
  <si>
    <t xml:space="preserve">150 hingga 300 minit</t>
  </si>
  <si>
    <t xml:space="preserve">More than 300 minutes</t>
  </si>
  <si>
    <t xml:space="preserve">Lebih daripada 300 minit</t>
  </si>
  <si>
    <t xml:space="preserve">How would you describe your diet?</t>
  </si>
  <si>
    <t xml:space="preserve">Bagaimana anda menggambarkan pemakanan anda?</t>
  </si>
  <si>
    <t xml:space="preserve">Mostly processed or high in sugar</t>
  </si>
  <si>
    <t xml:space="preserve">Kebanyakannya diproses atau tinggi gula</t>
  </si>
  <si>
    <t xml:space="preserve">A mix of fresh and processed</t>
  </si>
  <si>
    <t xml:space="preserve">Campuran makanan segar dan diproses</t>
  </si>
  <si>
    <t xml:space="preserve">Mostly fresh, balanced meals</t>
  </si>
  <si>
    <t xml:space="preserve">Kebanyakannya segar dan seimbang</t>
  </si>
  <si>
    <t xml:space="preserve">How many alcoholic drinks do you have per week?</t>
  </si>
  <si>
    <t xml:space="preserve">Berapa banyak minuman beralkohol anda ambil setiap minggu?</t>
  </si>
  <si>
    <t xml:space="preserve">1 drink is about 1 small wine, half a pint of beer, or 1 shot of spirits.</t>
  </si>
  <si>
    <t xml:space="preserve">1 minuman bersamaan kira-kira 1 gelas wain kecil, setengah pain bir, atau 1 syot spirit.</t>
  </si>
  <si>
    <t xml:space="preserve">None</t>
  </si>
  <si>
    <t xml:space="preserve">Tiada</t>
  </si>
  <si>
    <t xml:space="preserve">1 to 7</t>
  </si>
  <si>
    <t xml:space="preserve">1 hingga 7</t>
  </si>
  <si>
    <t xml:space="preserve">8 to 14</t>
  </si>
  <si>
    <t xml:space="preserve">8 hingga 14</t>
  </si>
  <si>
    <t xml:space="preserve">15 to 21</t>
  </si>
  <si>
    <t xml:space="preserve">15 hingga 21</t>
  </si>
  <si>
    <t xml:space="preserve">More than 21</t>
  </si>
  <si>
    <t xml:space="preserve">Lebih daripada 21</t>
  </si>
  <si>
    <t xml:space="preserve">Stat card (between questions)</t>
  </si>
  <si>
    <t xml:space="preserve">Label above the stat</t>
  </si>
  <si>
    <t xml:space="preserve">Did you know</t>
  </si>
  <si>
    <t xml:space="preserve">Tahukah anda</t>
  </si>
  <si>
    <t xml:space="preserve">Big number</t>
  </si>
  <si>
    <t xml:space="preserve">1 in 11</t>
  </si>
  <si>
    <t xml:space="preserve">1 daripada 11</t>
  </si>
  <si>
    <t xml:space="preserve">Sentence under it</t>
  </si>
  <si>
    <t xml:space="preserve">Singaporeans aged 60 and over live with dementia, with numbers projected to reach 152,000 by 2030.</t>
  </si>
  <si>
    <t xml:space="preserve">rakyat Singapura berumur 60 tahun ke atas hidup dengan demensia, dengan jumlahnya dijangka mencecah 152,000 pada 2030.</t>
  </si>
  <si>
    <t xml:space="preserve">P13</t>
  </si>
  <si>
    <t xml:space="preserve">Source line, as shown</t>
  </si>
  <si>
    <t xml:space="preserve">Source: IMH WiSE Study, 2024</t>
  </si>
  <si>
    <t xml:space="preserve">Sumber: Kajian IMH WiSE, 2024</t>
  </si>
  <si>
    <t xml:space="preserve">Preview only. The page puts a colon and a space after the label.</t>
  </si>
  <si>
    <t xml:space="preserve">"Source" label</t>
  </si>
  <si>
    <t xml:space="preserve">Source</t>
  </si>
  <si>
    <t xml:space="preserve">Sumber</t>
  </si>
  <si>
    <t xml:space="preserve">Followed by ": " and the source name.</t>
  </si>
  <si>
    <t xml:space="preserve">Source name</t>
  </si>
  <si>
    <t xml:space="preserve">IMH WiSE Study, 2024</t>
  </si>
  <si>
    <t xml:space="preserve">Kajian IMH WiSE, 2024</t>
  </si>
  <si>
    <t xml:space="preserve">Q · Tracking</t>
  </si>
  <si>
    <t xml:space="preserve">What do you already keep an eye on?</t>
  </si>
  <si>
    <t xml:space="preserve">Apa yang anda sudah pantau?</t>
  </si>
  <si>
    <t xml:space="preserve">Select all that apply.</t>
  </si>
  <si>
    <t xml:space="preserve">Pilih semua yang berkenaan.</t>
  </si>
  <si>
    <t xml:space="preserve">Productivity, focus or work performance</t>
  </si>
  <si>
    <t xml:space="preserve">Produktiviti, fokus atau prestasi kerja</t>
  </si>
  <si>
    <t xml:space="preserve">Sleep, HRV, strength or supplements</t>
  </si>
  <si>
    <t xml:space="preserve">Tidur, HRV, kekuatan atau suplemen</t>
  </si>
  <si>
    <t xml:space="preserve">Hormones, cycle or menopause symptoms</t>
  </si>
  <si>
    <t xml:space="preserve">Hormon, haid atau gejala menopaus</t>
  </si>
  <si>
    <t xml:space="preserve">A family member's health (I help care for someone)</t>
  </si>
  <si>
    <t xml:space="preserve">Kesihatan anggota keluarga (saya menjaga seseorang)</t>
  </si>
  <si>
    <t xml:space="preserve">Nothing in particular</t>
  </si>
  <si>
    <t xml:space="preserve">Tiada yang tertentu</t>
  </si>
  <si>
    <t xml:space="preserve">Q · Page: changes you might have noticed</t>
  </si>
  <si>
    <t xml:space="preserve">Changes you might have noticed</t>
  </si>
  <si>
    <t xml:space="preserve">Perubahan yang mungkin anda perasan</t>
  </si>
  <si>
    <t xml:space="preserve">How often do you have trouble concentrating on meetings or sustained tasks?</t>
  </si>
  <si>
    <t xml:space="preserve">Berapa kerap anda sukar menumpukan perhatian dalam mesyuarat atau tugasan panjang?</t>
  </si>
  <si>
    <t xml:space="preserve">Almost daily</t>
  </si>
  <si>
    <t xml:space="preserve">Hampir setiap hari</t>
  </si>
  <si>
    <t xml:space="preserve">Several times a week</t>
  </si>
  <si>
    <t xml:space="preserve">Beberapa kali seminggu</t>
  </si>
  <si>
    <t xml:space="preserve">Rarely</t>
  </si>
  <si>
    <t xml:space="preserve">Jarang</t>
  </si>
  <si>
    <t xml:space="preserve">Not that I notice</t>
  </si>
  <si>
    <t xml:space="preserve">Tidak saya perasan</t>
  </si>
  <si>
    <t xml:space="preserve">Compared to a few years ago, how often do you have problems with judgement or decision-making?</t>
  </si>
  <si>
    <t xml:space="preserve">Berbanding beberapa tahun lalu, berapa kerap anda menghadapi masalah pertimbangan atau membuat keputusan?</t>
  </si>
  <si>
    <t xml:space="preserve">How often do you experience forgetfulness, such as where you put things or what you meant to do?</t>
  </si>
  <si>
    <t xml:space="preserve">Berapa kerap anda terlupa, seperti di mana anda letak sesuatu atau apa yang anda hendak lakukan?</t>
  </si>
  <si>
    <t xml:space="preserve">Q · Follow-ups</t>
  </si>
  <si>
    <t xml:space="preserve">Only if forgetfulness was noticed</t>
  </si>
  <si>
    <t xml:space="preserve">Has this forgetfulness been persistent rather than a one-off?</t>
  </si>
  <si>
    <t xml:space="preserve">Adakah keadaan terlupa ini berterusan dan bukan sekali sekala?</t>
  </si>
  <si>
    <t xml:space="preserve">Yes, it has persisted</t>
  </si>
  <si>
    <t xml:space="preserve">Ya, ia berterusan</t>
  </si>
  <si>
    <t xml:space="preserve">No, it comes and goes</t>
  </si>
  <si>
    <t xml:space="preserve">Tidak, ia datang dan pergi</t>
  </si>
  <si>
    <t xml:space="preserve">Have family or friends mentioned noticing changes in your behaviour or habits, even if you haven't?</t>
  </si>
  <si>
    <t xml:space="preserve">Pernahkah keluarga atau rakan menyebut mereka perasan perubahan pada tingkah laku atau tabiat anda, walaupun anda tidak?</t>
  </si>
  <si>
    <t xml:space="preserve">Building your profile | ReCOGnAIze</t>
  </si>
  <si>
    <t xml:space="preserve">Membina profil anda | ReCOGnAIze</t>
  </si>
  <si>
    <t xml:space="preserve">Spinner label (screen readers)</t>
  </si>
  <si>
    <t xml:space="preserve">Building your profile</t>
  </si>
  <si>
    <t xml:space="preserve">Membina profil anda</t>
  </si>
  <si>
    <t xml:space="preserve">{name}, we are building your profile</t>
  </si>
  <si>
    <t xml:space="preserve">{name}, kami sedang membina profil anda</t>
  </si>
  <si>
    <t xml:space="preserve">Keep {name} exactly as written: it becomes the visitor's name.</t>
  </si>
  <si>
    <t xml:space="preserve">Heading (no name on file)</t>
  </si>
  <si>
    <t xml:space="preserve">Rare: no name on file</t>
  </si>
  <si>
    <t xml:space="preserve">We are building your profile</t>
  </si>
  <si>
    <t xml:space="preserve">Kami sedang membina profil anda</t>
  </si>
  <si>
    <t xml:space="preserve">Progress line 1 of 5</t>
  </si>
  <si>
    <t xml:space="preserve">Reviewing your profile of factors…</t>
  </si>
  <si>
    <t xml:space="preserve">Menyemak profil faktor anda…</t>
  </si>
  <si>
    <t xml:space="preserve">Each line shows for about 1.3 seconds.</t>
  </si>
  <si>
    <t xml:space="preserve">Progress line 2 of 5</t>
  </si>
  <si>
    <t xml:space="preserve">Comparing with an age-matched cohort…</t>
  </si>
  <si>
    <t xml:space="preserve">Membandingkan dengan kohort sebaya…</t>
  </si>
  <si>
    <t xml:space="preserve">Progress line 3 of 5</t>
  </si>
  <si>
    <t xml:space="preserve">Weighing lifestyle and biomedical factors…</t>
  </si>
  <si>
    <t xml:space="preserve">Menimbang faktor gaya hidup dan bioperubatan…</t>
  </si>
  <si>
    <t xml:space="preserve">Progress line 4 of 5</t>
  </si>
  <si>
    <t xml:space="preserve">Cross-referencing the 2024 Lancet Commission framework…</t>
  </si>
  <si>
    <t xml:space="preserve">Merujuk rangka kerja Suruhanjaya Lancet 2024…</t>
  </si>
  <si>
    <t xml:space="preserve">Progress line 5 of 5</t>
  </si>
  <si>
    <t xml:space="preserve">Preparing your Brain Health Score…</t>
  </si>
  <si>
    <t xml:space="preserve">Menyediakan Skor Kesihatan Otak anda…</t>
  </si>
  <si>
    <t xml:space="preserve">P14</t>
  </si>
  <si>
    <t xml:space="preserve">About the report versions</t>
  </si>
  <si>
    <t xml:space="preserve">(read me)</t>
  </si>
  <si>
    <t xml:space="preserve">The report comes in 4 versions: under 40 vs 40 and over (from the quiz age), and a fast vs slower game result. Rows marked "All report versions" appear in every version; the rest name the versions they appear in.</t>
  </si>
  <si>
    <t xml:space="preserve">Information for the translator, not app text.</t>
  </si>
  <si>
    <t xml:space="preserve">Header &amp; page-wide</t>
  </si>
  <si>
    <t xml:space="preserve">Your brain speed report | ReCOGnAIze</t>
  </si>
  <si>
    <t xml:space="preserve">Laporan kelajuan otak anda | ReCOGnAIze</t>
  </si>
  <si>
    <t xml:space="preserve">Share button</t>
  </si>
  <si>
    <t xml:space="preserve">Share results</t>
  </si>
  <si>
    <t xml:space="preserve">Kongsi keputusan</t>
  </si>
  <si>
    <t xml:space="preserve">Share button, after copying the link</t>
  </si>
  <si>
    <t xml:space="preserve">Copied</t>
  </si>
  <si>
    <t xml:space="preserve">Disalin</t>
  </si>
  <si>
    <t xml:space="preserve">Floating hint on short screens</t>
  </si>
  <si>
    <t xml:space="preserve">More results below</t>
  </si>
  <si>
    <t xml:space="preserve">Lagi keputusan di bawah</t>
  </si>
  <si>
    <t xml:space="preserve">Share sheet title</t>
  </si>
  <si>
    <t xml:space="preserve">My brain speed score</t>
  </si>
  <si>
    <t xml:space="preserve">Skor kelajuan otak saya</t>
  </si>
  <si>
    <t xml:space="preserve">Title of the phone's share sheet.</t>
  </si>
  <si>
    <t xml:space="preserve">Shared message</t>
  </si>
  <si>
    <t xml:space="preserve">I reacted faster than {percentile}% of {peers} on a 60-second cognitive test.</t>
  </si>
  <si>
    <t xml:space="preserve">Reaksi saya lebih pantas daripada {percentile}% {peers} dalam ujian kognitif 60 saat.</t>
  </si>
  <si>
    <t xml:space="preserve">Text the visitor shares. Keep {percentile} and {peers} as written: {percentile} is a number, {peers} is one of the two "people aged…" / "people your age" rows below.</t>
  </si>
  <si>
    <t xml:space="preserve">Preview banner</t>
  </si>
  <si>
    <t xml:space="preserve">Only on a device with no finished game (demo/preview)</t>
  </si>
  <si>
    <t xml:space="preserve">Preview mode. No finished game on this device, so the numbers below are a sample.</t>
  </si>
  <si>
    <t xml:space="preserve">Mod pratonton. Tiada permainan yang selesai pada peranti ini, jadi nombor di bawah adalah contoh.</t>
  </si>
  <si>
    <t xml:space="preserve">Side rail (section names)</t>
  </si>
  <si>
    <t xml:space="preserve">Rail name (screen readers)</t>
  </si>
  <si>
    <t xml:space="preserve">Report sections</t>
  </si>
  <si>
    <t xml:space="preserve">Read aloud by screen readers. Hardcoded in English, so it stays English in every language.</t>
  </si>
  <si>
    <t xml:space="preserve">Section 1</t>
  </si>
  <si>
    <t xml:space="preserve">Your rank</t>
  </si>
  <si>
    <t xml:space="preserve">Kedudukan anda</t>
  </si>
  <si>
    <t xml:space="preserve">Short label beside the dot navigation.</t>
  </si>
  <si>
    <t xml:space="preserve">Section 2</t>
  </si>
  <si>
    <t xml:space="preserve">What it means</t>
  </si>
  <si>
    <t xml:space="preserve">Apa maknanya</t>
  </si>
  <si>
    <t xml:space="preserve">Section 3</t>
  </si>
  <si>
    <t xml:space="preserve">Risk factors</t>
  </si>
  <si>
    <t xml:space="preserve">Faktor risiko</t>
  </si>
  <si>
    <t xml:space="preserve">Section 4</t>
  </si>
  <si>
    <t xml:space="preserve">Your baseline</t>
  </si>
  <si>
    <t xml:space="preserve">Garis dasar anda</t>
  </si>
  <si>
    <t xml:space="preserve">Section 5</t>
  </si>
  <si>
    <t xml:space="preserve">The test</t>
  </si>
  <si>
    <t xml:space="preserve">Ujian penuh</t>
  </si>
  <si>
    <t xml:space="preserve">Section 6</t>
  </si>
  <si>
    <t xml:space="preserve">Next steps</t>
  </si>
  <si>
    <t xml:space="preserve">Langkah seterusnya</t>
  </si>
  <si>
    <t xml:space="preserve">Section 7</t>
  </si>
  <si>
    <t xml:space="preserve">Wrap up</t>
  </si>
  <si>
    <t xml:space="preserve">Penutup</t>
  </si>
  <si>
    <t xml:space="preserve">Section 1 · Your rank</t>
  </si>
  <si>
    <t xml:space="preserve">Eyebrow (small caps)</t>
  </si>
  <si>
    <t xml:space="preserve">Under 40, fast result; Under 40, slower result</t>
  </si>
  <si>
    <t xml:space="preserve">40+, fast result; 40+, slower result</t>
  </si>
  <si>
    <t xml:space="preserve">Processing speed check</t>
  </si>
  <si>
    <t xml:space="preserve">Pemeriksaan kelajuan pemprosesan</t>
  </si>
  <si>
    <t xml:space="preserve">P15</t>
  </si>
  <si>
    <t xml:space="preserve">Headline, as shown (under-40 fast result)</t>
  </si>
  <si>
    <t xml:space="preserve">Under 40, fast result</t>
  </si>
  <si>
    <t xml:space="preserve">{name}, you are faster than {percentile}% of your peers.</t>
  </si>
  <si>
    <t xml:space="preserve">{name}, anda lebih pantas daripada {percentile}% orang sebaya anda.</t>
  </si>
  <si>
    <t xml:space="preserve">Preview only: the rows below joined with the spaces the page puts between them. {percentile} counts up as an animation.</t>
  </si>
  <si>
    <t xml:space="preserve">Headline — start</t>
  </si>
  <si>
    <t xml:space="preserve">{name}, you are</t>
  </si>
  <si>
    <t xml:space="preserve">{name}, anda</t>
  </si>
  <si>
    <t xml:space="preserve">Fragment. Keep {name} as written.</t>
  </si>
  <si>
    <t xml:space="preserve">Headline — start (no name on file)</t>
  </si>
  <si>
    <t xml:space="preserve">Under 40, fast result — no name on file</t>
  </si>
  <si>
    <t xml:space="preserve">You are</t>
  </si>
  <si>
    <t xml:space="preserve">Anda</t>
  </si>
  <si>
    <t xml:space="preserve">Headline — middle</t>
  </si>
  <si>
    <t xml:space="preserve">faster than</t>
  </si>
  <si>
    <t xml:space="preserve">lebih pantas daripada</t>
  </si>
  <si>
    <t xml:space="preserve">Fragment. Followed by a space and the percentage.</t>
  </si>
  <si>
    <t xml:space="preserve">Headline — end</t>
  </si>
  <si>
    <t xml:space="preserve">of your peers.</t>
  </si>
  <si>
    <t xml:space="preserve">orang sebaya anda.</t>
  </si>
  <si>
    <t xml:space="preserve">Fragment. Comes after the percentage.</t>
  </si>
  <si>
    <t xml:space="preserve">Headline</t>
  </si>
  <si>
    <t xml:space="preserve">Under 40, slower result — with a name</t>
  </si>
  <si>
    <t xml:space="preserve">{name}, most people were faster than you today.</t>
  </si>
  <si>
    <t xml:space="preserve">{name}, kebanyakan orang lebih pantas daripada anda hari ini.</t>
  </si>
  <si>
    <t xml:space="preserve">Keep {placeholders} exactly as written. {name} = visitor's name; {percentile} and {topBand} = numbers; {avgSeconds} = e.g. 0.54; {domain} = the "processing speed" row below; {ageLabel} = an age-band row below (e.g. "60 and over").</t>
  </si>
  <si>
    <t xml:space="preserve">Under 40, slower result — no name on file</t>
  </si>
  <si>
    <t xml:space="preserve">Most people were faster than you today.</t>
  </si>
  <si>
    <t xml:space="preserve">Kebanyakan orang lebih pantas daripada anda hari ini.</t>
  </si>
  <si>
    <t xml:space="preserve">40+, fast result — with a name</t>
  </si>
  <si>
    <t xml:space="preserve">{name}, your speed is above average for your age band.</t>
  </si>
  <si>
    <t xml:space="preserve">{name}, kelajuan anda melebihi purata bagi kumpulan umur anda.</t>
  </si>
  <si>
    <t xml:space="preserve">40+, fast result — no name on file</t>
  </si>
  <si>
    <t xml:space="preserve">Your speed is above average for your age band.</t>
  </si>
  <si>
    <t xml:space="preserve">Kelajuan anda melebihi purata bagi kumpulan umur anda.</t>
  </si>
  <si>
    <t xml:space="preserve">40+, slower result — with a name</t>
  </si>
  <si>
    <t xml:space="preserve">{name}, your speed came in below your age band today.</t>
  </si>
  <si>
    <t xml:space="preserve">{name}, kelajuan anda di bawah kumpulan umur anda hari ini.</t>
  </si>
  <si>
    <t xml:space="preserve">40+, slower result — no name on file</t>
  </si>
  <si>
    <t xml:space="preserve">Your speed came in below your age band today.</t>
  </si>
  <si>
    <t xml:space="preserve">Kelajuan anda di bawah kumpulan umur anda hari ini.</t>
  </si>
  <si>
    <t xml:space="preserve">Card label</t>
  </si>
  <si>
    <t xml:space="preserve">Your age band</t>
  </si>
  <si>
    <t xml:space="preserve">Kumpulan umur anda</t>
  </si>
  <si>
    <t xml:space="preserve">Card chip (age band)</t>
  </si>
  <si>
    <t xml:space="preserve">Aged {label}</t>
  </si>
  <si>
    <t xml:space="preserve">Umur {label}</t>
  </si>
  <si>
    <t xml:space="preserve">{label} = an age band such as "60 and over" (rows below), or the raw range like 40-49.</t>
  </si>
  <si>
    <t xml:space="preserve">Card chip (age unknown)</t>
  </si>
  <si>
    <t xml:space="preserve">Rare: no age on file</t>
  </si>
  <si>
    <t xml:space="preserve">All ages</t>
  </si>
  <si>
    <t xml:space="preserve">Semua umur</t>
  </si>
  <si>
    <t xml:space="preserve">Chart label — left</t>
  </si>
  <si>
    <t xml:space="preserve">Slower</t>
  </si>
  <si>
    <t xml:space="preserve">Perlahan</t>
  </si>
  <si>
    <t xml:space="preserve">Chart axis label. Keep it short.</t>
  </si>
  <si>
    <t xml:space="preserve">Chart label — centre</t>
  </si>
  <si>
    <t xml:space="preserve">Average</t>
  </si>
  <si>
    <t xml:space="preserve">Purata</t>
  </si>
  <si>
    <t xml:space="preserve">Chart label — right</t>
  </si>
  <si>
    <t xml:space="preserve">Faster</t>
  </si>
  <si>
    <t xml:space="preserve">Pantas</t>
  </si>
  <si>
    <t xml:space="preserve">Chart description (screen readers)</t>
  </si>
  <si>
    <t xml:space="preserve">Your reaction time sits at the {percentile}th percentile of your age band</t>
  </si>
  <si>
    <t xml:space="preserve">Read aloud by screen readers. Hardcoded in English, so it stays English in every language. {percentile} is a number.</t>
  </si>
  <si>
    <t xml:space="preserve">Chart marker on the visitor</t>
  </si>
  <si>
    <t xml:space="preserve">YOU</t>
  </si>
  <si>
    <t xml:space="preserve">ANDA</t>
  </si>
  <si>
    <t xml:space="preserve">Tiny marker over the visitor's position. English is in capitals.</t>
  </si>
  <si>
    <t xml:space="preserve">Line under the chart</t>
  </si>
  <si>
    <t xml:space="preserve">That is the top {topBand}% of your age band on {domain}.</t>
  </si>
  <si>
    <t xml:space="preserve">Itu {topBand}% teratas dalam kumpulan umur anda bagi {domain}.</t>
  </si>
  <si>
    <t xml:space="preserve">Under 40, slower result — with a game score</t>
  </si>
  <si>
    <t xml:space="preserve">{avgSeconds} seconds on average — the bottom {percentile}% of your age band.</t>
  </si>
  <si>
    <t xml:space="preserve">{avgSeconds} saat secara purata — {percentile}% terbawah dalam kumpulan umur anda.</t>
  </si>
  <si>
    <t xml:space="preserve">Under 40, slower result — no game score</t>
  </si>
  <si>
    <t xml:space="preserve">That is the bottom {percentile}% of your age band on {domain}.</t>
  </si>
  <si>
    <t xml:space="preserve">Itu {percentile}% terbawah dalam kumpulan umur anda bagi {domain}.</t>
  </si>
  <si>
    <t xml:space="preserve">40+, fast result — with a game score, with a quiz age</t>
  </si>
  <si>
    <t xml:space="preserve">{avgSeconds} seconds on average — the top {topBand}% for ages {ageLabel}.</t>
  </si>
  <si>
    <t xml:space="preserve">{avgSeconds} saat secara purata — {topBand}% teratas bagi umur {ageLabel}.</t>
  </si>
  <si>
    <t xml:space="preserve">40+, fast result — with a game score, no quiz age</t>
  </si>
  <si>
    <t xml:space="preserve">{avgSeconds} seconds on average — the top {topBand}% for your age band.</t>
  </si>
  <si>
    <t xml:space="preserve">{avgSeconds} saat secara purata — {topBand}% teratas bagi kumpulan umur anda.</t>
  </si>
  <si>
    <t xml:space="preserve">40+, fast result — no game score, with a quiz age</t>
  </si>
  <si>
    <t xml:space="preserve">That is the top {topBand}% for ages {ageLabel} on {domain}.</t>
  </si>
  <si>
    <t xml:space="preserve">Itu {topBand}% teratas bagi umur {ageLabel} bagi {domain}.</t>
  </si>
  <si>
    <t xml:space="preserve">40+, fast result — no game score, no quiz age</t>
  </si>
  <si>
    <t xml:space="preserve">That is the top {topBand}% for your age band on {domain}.</t>
  </si>
  <si>
    <t xml:space="preserve">Itu {topBand}% teratas bagi kumpulan umur anda bagi {domain}.</t>
  </si>
  <si>
    <t xml:space="preserve">40+, slower result — with a game score</t>
  </si>
  <si>
    <t xml:space="preserve">{avgSeconds} seconds on average. One game on one day is not a diagnosis.</t>
  </si>
  <si>
    <t xml:space="preserve">{avgSeconds} saat secara purata. Satu permainan pada satu hari bukan satu diagnosis.</t>
  </si>
  <si>
    <t xml:space="preserve">40+, slower result — no game score</t>
  </si>
  <si>
    <t xml:space="preserve">One game on one day is not a diagnosis.</t>
  </si>
  <si>
    <t xml:space="preserve">Satu permainan pada satu hari bukan satu diagnosis.</t>
  </si>
  <si>
    <t xml:space="preserve">Scroll cue (italic)</t>
  </si>
  <si>
    <t xml:space="preserve">Tell me more</t>
  </si>
  <si>
    <t xml:space="preserve">Beritahu saya lebih lanjut</t>
  </si>
  <si>
    <t xml:space="preserve">What did we measure?</t>
  </si>
  <si>
    <t xml:space="preserve">Apa yang kami ukur?</t>
  </si>
  <si>
    <t xml:space="preserve">Section 2 · What it means</t>
  </si>
  <si>
    <t xml:space="preserve">What that actually means</t>
  </si>
  <si>
    <t xml:space="preserve">Apa maksudnya sebenarnya</t>
  </si>
  <si>
    <t xml:space="preserve">P16</t>
  </si>
  <si>
    <t xml:space="preserve">Processing speed is how fast your brain takes in what it sees and responds.</t>
  </si>
  <si>
    <t xml:space="preserve">Kelajuan pemprosesan ialah sepantas mana otak anda menerima apa yang dilihatnya dan bertindak balas.</t>
  </si>
  <si>
    <t xml:space="preserve">Preview only: the seven rows below joined. Parts 2, 4 and 6 are set in an italic serif.</t>
  </si>
  <si>
    <t xml:space="preserve">Heading — part 1 of 7</t>
  </si>
  <si>
    <t xml:space="preserve">Processing speed is </t>
  </si>
  <si>
    <t xml:space="preserve">Kelajuan pemprosesan ialah </t>
  </si>
  <si>
    <t xml:space="preserve">Heading — part 2 of 7 (italic)</t>
  </si>
  <si>
    <t xml:space="preserve">how fast</t>
  </si>
  <si>
    <t xml:space="preserve">sepantas mana</t>
  </si>
  <si>
    <t xml:space="preserve">Heading — part 3 of 7</t>
  </si>
  <si>
    <t xml:space="preserve"> your brain </t>
  </si>
  <si>
    <t xml:space="preserve"> otak anda </t>
  </si>
  <si>
    <t xml:space="preserve">Heading — part 4 of 7 (italic)</t>
  </si>
  <si>
    <t xml:space="preserve">takes in</t>
  </si>
  <si>
    <t xml:space="preserve">menerima</t>
  </si>
  <si>
    <t xml:space="preserve">Heading — part 5 of 7</t>
  </si>
  <si>
    <t xml:space="preserve"> what it sees and </t>
  </si>
  <si>
    <t xml:space="preserve"> apa yang dilihatnya dan </t>
  </si>
  <si>
    <t xml:space="preserve">Heading — part 6 of 7 (italic)</t>
  </si>
  <si>
    <t xml:space="preserve">responds</t>
  </si>
  <si>
    <t xml:space="preserve">bertindak balas</t>
  </si>
  <si>
    <t xml:space="preserve">Heading — part 7 of 7</t>
  </si>
  <si>
    <t xml:space="preserve">Intro line</t>
  </si>
  <si>
    <t xml:space="preserve">With high processing speed, you can:</t>
  </si>
  <si>
    <t xml:space="preserve">Dengan kelajuan pemprosesan yang tinggi, anda boleh:</t>
  </si>
  <si>
    <t xml:space="preserve">Under 40, slower result</t>
  </si>
  <si>
    <t xml:space="preserve">Here's what a faster speed would unlock:</t>
  </si>
  <si>
    <t xml:space="preserve">Ini yang akan terbuka dengan kelajuan yang lebih tinggi:</t>
  </si>
  <si>
    <t xml:space="preserve">40+, fast result</t>
  </si>
  <si>
    <t xml:space="preserve">This is where you notice it in daily life:</t>
  </si>
  <si>
    <t xml:space="preserve">Di sinilah anda perasan kesannya dalam kehidupan harian:</t>
  </si>
  <si>
    <t xml:space="preserve">40+, slower result</t>
  </si>
  <si>
    <t xml:space="preserve">A slower speed often shows up like this:</t>
  </si>
  <si>
    <t xml:space="preserve">Kelajuan yang lebih perlahan sering muncul seperti ini:</t>
  </si>
  <si>
    <t xml:space="preserve">Example 1 of 3</t>
  </si>
  <si>
    <t xml:space="preserve">Under 40, fast result; Under 40, slower result; 40+, fast result</t>
  </si>
  <si>
    <t xml:space="preserve">Keep up with fast-paced conversations</t>
  </si>
  <si>
    <t xml:space="preserve">Mengikuti perbualan yang pantas</t>
  </si>
  <si>
    <t xml:space="preserve">Example 2 of 3</t>
  </si>
  <si>
    <t xml:space="preserve">Adapt swiftly to changing environments</t>
  </si>
  <si>
    <t xml:space="preserve">Menyesuaikan diri dengan cepat kepada persekitaran yang berubah</t>
  </si>
  <si>
    <t xml:space="preserve">Example 3 of 3</t>
  </si>
  <si>
    <t xml:space="preserve">Add up the bill before the cashier finishes scanning</t>
  </si>
  <si>
    <t xml:space="preserve">Mengira jumlah bil sebelum kasyer habis memindai</t>
  </si>
  <si>
    <t xml:space="preserve">Fast conversations take more effort to follow</t>
  </si>
  <si>
    <t xml:space="preserve">Perbualan pantas lebih memerlukan usaha untuk diikuti</t>
  </si>
  <si>
    <t xml:space="preserve">Busy environments feel harder to keep up with</t>
  </si>
  <si>
    <t xml:space="preserve">Persekitaran yang sibuk terasa lebih sukar diikuti</t>
  </si>
  <si>
    <t xml:space="preserve">Adding up the bill takes longer than it used to</t>
  </si>
  <si>
    <t xml:space="preserve">Mengira jumlah bil mengambil masa lebih lama daripada dahulu</t>
  </si>
  <si>
    <t xml:space="preserve">Closing line (highlighted)</t>
  </si>
  <si>
    <t xml:space="preserve">Under 40, fast result; 40+, fast result</t>
  </si>
  <si>
    <t xml:space="preserve">If those feel effortless, your score just told you why.</t>
  </si>
  <si>
    <t xml:space="preserve">Jika semua itu terasa mudah, skor anda baru sahaja memberitahu sebabnya.</t>
  </si>
  <si>
    <t xml:space="preserve">Under 40, slower result; 40+, slower result</t>
  </si>
  <si>
    <t xml:space="preserve">If any of those feel like work lately, your score is the reason.</t>
  </si>
  <si>
    <t xml:space="preserve">Jika mana-mana daripada itu terasa memenatkan kebelakangan ini, skor anda ialah sebabnya.</t>
  </si>
  <si>
    <t xml:space="preserve">Section 3 · Risk factors</t>
  </si>
  <si>
    <t xml:space="preserve">Also measured</t>
  </si>
  <si>
    <t xml:space="preserve">Turut diukur</t>
  </si>
  <si>
    <t xml:space="preserve">Speed was not the only thing we looked at.</t>
  </si>
  <si>
    <t xml:space="preserve">Kelajuan bukan satu-satunya perkara yang kami lihat.</t>
  </si>
  <si>
    <t xml:space="preserve">Body</t>
  </si>
  <si>
    <t xml:space="preserve">We looked at your risk factors too — health and lifestyle habits like high blood pressure, poor sleep, or not enough exercise can slow your brain down over time.</t>
  </si>
  <si>
    <t xml:space="preserve">Kami juga melihat faktor risiko anda — tabiat kesihatan dan gaya hidup seperti tekanan darah tinggi, tidur yang tidak cukup, atau senaman yang kurang boleh memperlahankan otak anda dari masa ke masa.</t>
  </si>
  <si>
    <t xml:space="preserve">We also looked at your risk factors. Habits like high blood pressure, poor sleep, hearing loss, or too little exercise can slow your thinking over the years.</t>
  </si>
  <si>
    <t xml:space="preserve">Kami juga melihat faktor risiko anda. Tabiat seperti tekanan darah tinggi, tidur yang tidak cukup, kehilangan pendengaran, atau senaman yang terlalu sedikit boleh memperlahankan pemikiran anda selama bertahun-tahun.</t>
  </si>
  <si>
    <t xml:space="preserve">Chart legend — line 1</t>
  </si>
  <si>
    <t xml:space="preserve">Risk factors managed</t>
  </si>
  <si>
    <t xml:space="preserve">Faktor risiko diuruskan</t>
  </si>
  <si>
    <t xml:space="preserve">Chart legend — line 2</t>
  </si>
  <si>
    <t xml:space="preserve">Risk factors unmanaged</t>
  </si>
  <si>
    <t xml:space="preserve">Faktor risiko tidak diuruskan</t>
  </si>
  <si>
    <t xml:space="preserve">Chart axis — top</t>
  </si>
  <si>
    <t xml:space="preserve">Chart axis — bottom</t>
  </si>
  <si>
    <t xml:space="preserve">Chart axis — age prefix</t>
  </si>
  <si>
    <t xml:space="preserve">Age </t>
  </si>
  <si>
    <t xml:space="preserve">Umur </t>
  </si>
  <si>
    <t xml:space="preserve">Followed by a number, e.g. "Age 40".</t>
  </si>
  <si>
    <t xml:space="preserve">Chart caption</t>
  </si>
  <si>
    <t xml:space="preserve">Illustrative trend, shaped by Jaarsma et al. 2024 and Yaffe et al. 2020 (CARDIA). Not a clinical prediction.</t>
  </si>
  <si>
    <t xml:space="preserve">Trend ilustrasi, dibentuk oleh Jaarsma et al. 2024 dan Yaffe et al. 2020 (CARDIA). Bukan ramalan klinikal.</t>
  </si>
  <si>
    <t xml:space="preserve">Illustrative chart: processing speed declines gently with age when risk factors are managed, and drops steeply when they are left unmanaged</t>
  </si>
  <si>
    <t xml:space="preserve">Carta ilustrasi: kelajuan pemprosesan menurun secara perlahan dengan umur apabila faktor risiko diuruskan, dan menurun dengan mendadak apabila dibiarkan.</t>
  </si>
  <si>
    <t xml:space="preserve">P17</t>
  </si>
  <si>
    <t xml:space="preserve">Risk level line, as shown</t>
  </si>
  <si>
    <t xml:space="preserve">Your risk level: Moderate</t>
  </si>
  <si>
    <t xml:space="preserve">Tahap risiko anda: Sederhana</t>
  </si>
  <si>
    <t xml:space="preserve">Preview only, with "Moderate" as the sample level. The page always puts a space between the label and the level.</t>
  </si>
  <si>
    <t xml:space="preserve">Risk level label</t>
  </si>
  <si>
    <t xml:space="preserve">Your risk level:</t>
  </si>
  <si>
    <t xml:space="preserve">Tahap risiko anda:</t>
  </si>
  <si>
    <t xml:space="preserve">Risk level — low</t>
  </si>
  <si>
    <t xml:space="preserve">Low</t>
  </si>
  <si>
    <t xml:space="preserve">Rendah</t>
  </si>
  <si>
    <t xml:space="preserve">Also printed on the risk meter.</t>
  </si>
  <si>
    <t xml:space="preserve">Risk level — moderate</t>
  </si>
  <si>
    <t xml:space="preserve">Moderate</t>
  </si>
  <si>
    <t xml:space="preserve">Sederhana</t>
  </si>
  <si>
    <t xml:space="preserve">Risk level — elevated</t>
  </si>
  <si>
    <t xml:space="preserve">Elevated</t>
  </si>
  <si>
    <t xml:space="preserve">Tinggi</t>
  </si>
  <si>
    <t xml:space="preserve">Risk level — high</t>
  </si>
  <si>
    <t xml:space="preserve">High</t>
  </si>
  <si>
    <t xml:space="preserve">Sangat tinggi</t>
  </si>
  <si>
    <t xml:space="preserve">P18</t>
  </si>
  <si>
    <t xml:space="preserve">Factor list intro, as shown</t>
  </si>
  <si>
    <t xml:space="preserve">Some factors that affect your risk level, {name}:</t>
  </si>
  <si>
    <t xml:space="preserve">Beberapa faktor yang mempengaruhi tahap risiko anda, {name}:</t>
  </si>
  <si>
    <t xml:space="preserve">Preview only. The page adds ", {name}:" after this line.</t>
  </si>
  <si>
    <t xml:space="preserve">Factor list intro</t>
  </si>
  <si>
    <t xml:space="preserve">Some factors that affect your risk level</t>
  </si>
  <si>
    <t xml:space="preserve">Beberapa faktor yang mempengaruhi tahap risiko anda</t>
  </si>
  <si>
    <t xml:space="preserve">Followed by ", {name}:" (see the preview row above).</t>
  </si>
  <si>
    <t xml:space="preserve">Risk factor chip</t>
  </si>
  <si>
    <t xml:space="preserve">Age</t>
  </si>
  <si>
    <t xml:space="preserve">Umur</t>
  </si>
  <si>
    <t xml:space="preserve">Up to five of these show, as chips.</t>
  </si>
  <si>
    <t xml:space="preserve">Hormonal changes</t>
  </si>
  <si>
    <t xml:space="preserve">Perubahan hormon</t>
  </si>
  <si>
    <t xml:space="preserve">Family history</t>
  </si>
  <si>
    <t xml:space="preserve">Sejarah keluarga</t>
  </si>
  <si>
    <t xml:space="preserve">Blood pressure</t>
  </si>
  <si>
    <t xml:space="preserve">Tekanan darah</t>
  </si>
  <si>
    <t xml:space="preserve">Cholesterol</t>
  </si>
  <si>
    <t xml:space="preserve">Kolesterol</t>
  </si>
  <si>
    <t xml:space="preserve">Diabetes / pre-diabetes</t>
  </si>
  <si>
    <t xml:space="preserve">Diabetes / pra-diabetes</t>
  </si>
  <si>
    <t xml:space="preserve">Untreated hearing loss</t>
  </si>
  <si>
    <t xml:space="preserve">Kehilangan pendengaran tanpa rawatan</t>
  </si>
  <si>
    <t xml:space="preserve">Untreated vision loss</t>
  </si>
  <si>
    <t xml:space="preserve">Kehilangan penglihatan tanpa rawatan</t>
  </si>
  <si>
    <t xml:space="preserve">Smoking</t>
  </si>
  <si>
    <t xml:space="preserve">Merokok</t>
  </si>
  <si>
    <t xml:space="preserve">Sleep</t>
  </si>
  <si>
    <t xml:space="preserve">Tidur</t>
  </si>
  <si>
    <t xml:space="preserve">Exercise</t>
  </si>
  <si>
    <t xml:space="preserve">Senaman</t>
  </si>
  <si>
    <t xml:space="preserve">Diet</t>
  </si>
  <si>
    <t xml:space="preserve">Pemakanan</t>
  </si>
  <si>
    <t xml:space="preserve">Alcohol</t>
  </si>
  <si>
    <t xml:space="preserve">Alkohol</t>
  </si>
  <si>
    <t xml:space="preserve">Physical activity</t>
  </si>
  <si>
    <t xml:space="preserve">Aktiviti fizikal</t>
  </si>
  <si>
    <t xml:space="preserve">Stress</t>
  </si>
  <si>
    <t xml:space="preserve">Tekanan</t>
  </si>
  <si>
    <t xml:space="preserve">Good-news label</t>
  </si>
  <si>
    <t xml:space="preserve">The good news is</t>
  </si>
  <si>
    <t xml:space="preserve">Berita baiknya</t>
  </si>
  <si>
    <t xml:space="preserve">P19</t>
  </si>
  <si>
    <t xml:space="preserve">Good-news figure, as shown</t>
  </si>
  <si>
    <t xml:space="preserve">About 45%</t>
  </si>
  <si>
    <t xml:space="preserve">Kira-kira 45%</t>
  </si>
  <si>
    <t xml:space="preserve">Preview only. The page puts a space before the number.</t>
  </si>
  <si>
    <t xml:space="preserve">Good-news figure — word before the number</t>
  </si>
  <si>
    <t xml:space="preserve">About</t>
  </si>
  <si>
    <t xml:space="preserve">Kira-kira</t>
  </si>
  <si>
    <t xml:space="preserve">Good-news sentence</t>
  </si>
  <si>
    <t xml:space="preserve">of dementia cases worldwide could be prevented or delayed by addressing the modifiable risk factors across a person's life.</t>
  </si>
  <si>
    <t xml:space="preserve">kes demensia di seluruh dunia boleh dicegah atau dilambatkan dengan menangani faktor risiko yang boleh diubah sepanjang hayat seseorang.</t>
  </si>
  <si>
    <t xml:space="preserve">Comes after "About 45%" and completes it.</t>
  </si>
  <si>
    <t xml:space="preserve">Action card — heading</t>
  </si>
  <si>
    <t xml:space="preserve">All report versions</t>
  </si>
  <si>
    <t xml:space="preserve">Here are 3 actionables you can do right now</t>
  </si>
  <si>
    <t xml:space="preserve">Ini 3 tindakan yang anda boleh buat sekarang</t>
  </si>
  <si>
    <t xml:space="preserve">Action 1 of 3</t>
  </si>
  <si>
    <t xml:space="preserve">Keep doing what you're doing — your speed is strong, so protect it with consistent sleep and regular exercise.</t>
  </si>
  <si>
    <t xml:space="preserve">Teruskan apa yang anda buat — kelajuan anda kukuh, jadi lindunginya dengan tidur yang konsisten dan senaman yang tetap.</t>
  </si>
  <si>
    <t xml:space="preserve">Action 2 of 3</t>
  </si>
  <si>
    <t xml:space="preserve">Challenge your brain daily — try a new route to work, learn a new skill, or switch up your routine.</t>
  </si>
  <si>
    <t xml:space="preserve">Cabar otak anda setiap hari — cuba jalan baharu ke tempat kerja, pelajari kemahiran baharu, atau ubah rutin anda.</t>
  </si>
  <si>
    <t xml:space="preserve">Action 3 of 3</t>
  </si>
  <si>
    <t xml:space="preserve">Track your baseline — take the full assessment so you have a reference point to compare against over time.</t>
  </si>
  <si>
    <t xml:space="preserve">Rekod garis dasar anda — ambil penilaian penuh supaya anda ada titik rujukan untuk dibandingkan pada masa depan.</t>
  </si>
  <si>
    <t xml:space="preserve">Prioritise sleep — aim for 7-9 hours; even one extra hour can sharpen reaction time the next day.</t>
  </si>
  <si>
    <t xml:space="preserve">Utamakan tidur — sasarkan 7-9 jam; satu jam tambahan pun boleh menajamkan masa reaksi anda esok.</t>
  </si>
  <si>
    <t xml:space="preserve">Move for 20 minutes — a brisk walk or any cardio boosts blood flow to the brain and improves processing speed.</t>
  </si>
  <si>
    <t xml:space="preserve">Bergerak selama 20 minit — berjalan pantas atau apa-apa kardio meningkatkan aliran darah ke otak dan memperbaiki kelajuan pemprosesan.</t>
  </si>
  <si>
    <t xml:space="preserve">Take the full assessment — find out which domain is actually holding you back so you fix the real bottleneck.</t>
  </si>
  <si>
    <t xml:space="preserve">Ambil penilaian penuh — ketahui domain mana yang sebenarnya menghalang anda supaya anda betulkan halangan yang sebenar.</t>
  </si>
  <si>
    <t xml:space="preserve">Take a gentle walk every day — even 15 minutes helps blood flow to the brain and supports long-term cognitive health.</t>
  </si>
  <si>
    <t xml:space="preserve">Berjalan perlahan setiap hari — 15 minit pun membantu aliran darah ke otak dan menyokong kesihatan kognitif jangka panjang.</t>
  </si>
  <si>
    <t xml:space="preserve">Stay socially active — regular conversations and group activities keep your brain engaged across multiple domains.</t>
  </si>
  <si>
    <t xml:space="preserve">Kekal aktif bersosial — perbualan tetap dan aktiviti berkumpulan mengekalkan otak anda terlibat merentas beberapa domain.</t>
  </si>
  <si>
    <t xml:space="preserve">Set a baseline with the full assessment — so you and your doctor have numbers to compare against over time.</t>
  </si>
  <si>
    <t xml:space="preserve">Tetapkan garis dasar dengan penilaian penuh — supaya anda dan doktor anda ada nombor untuk dibandingkan dari masa ke masa.</t>
  </si>
  <si>
    <t xml:space="preserve">Take a gentle walk every day — even 15 minutes helps blood flow to the brain and supports thinking speed.</t>
  </si>
  <si>
    <t xml:space="preserve">Berjalan perlahan setiap hari — 15 minit pun membantu aliran darah ke otak dan menyokong kelajuan berfikir.</t>
  </si>
  <si>
    <t xml:space="preserve">Keep a simple routine — regular meals, consistent sleep, and familiar structure all reduce cognitive load.</t>
  </si>
  <si>
    <t xml:space="preserve">Kekalkan rutin yang mudah — waktu makan yang tetap, tidur yang konsisten, dan struktur yang biasa mengurangkan beban kognitif.</t>
  </si>
  <si>
    <t xml:space="preserve">Take the full assessment — share the results with your doctor so they have numbers to work with, not just symptoms.</t>
  </si>
  <si>
    <t xml:space="preserve">Ambil penilaian penuh — kongsi keputusan dengan doktor anda supaya mereka ada nombor untuk digunakan, bukan hanya gejala.</t>
  </si>
  <si>
    <t xml:space="preserve">Section 4 · Your baseline</t>
  </si>
  <si>
    <t xml:space="preserve">Your baseline so far</t>
  </si>
  <si>
    <t xml:space="preserve">Garis dasar anda sejauh ini</t>
  </si>
  <si>
    <t xml:space="preserve">What we covered today</t>
  </si>
  <si>
    <t xml:space="preserve">Apa yang kami liputi hari ini</t>
  </si>
  <si>
    <t xml:space="preserve">Heading — first line</t>
  </si>
  <si>
    <t xml:space="preserve">You've only covered </t>
  </si>
  <si>
    <t xml:space="preserve">Anda baru melengkapkan </t>
  </si>
  <si>
    <t xml:space="preserve">Followed by a line break and the highlighted part on the next row.</t>
  </si>
  <si>
    <t xml:space="preserve">Heading — highlighted part</t>
  </si>
  <si>
    <t xml:space="preserve">2 out of 5</t>
  </si>
  <si>
    <t xml:space="preserve">2 daripada 5</t>
  </si>
  <si>
    <t xml:space="preserve">2 of 5</t>
  </si>
  <si>
    <t xml:space="preserve">Card progress</t>
  </si>
  <si>
    <t xml:space="preserve">2 of 5 done</t>
  </si>
  <si>
    <t xml:space="preserve">2 daripada 5 selesai</t>
  </si>
  <si>
    <t xml:space="preserve">Radar chart axis 1 of 5</t>
  </si>
  <si>
    <t xml:space="preserve">Speed</t>
  </si>
  <si>
    <t xml:space="preserve">Kelajuan</t>
  </si>
  <si>
    <t xml:space="preserve">Chart label. Keep it to one short word.</t>
  </si>
  <si>
    <t xml:space="preserve">Radar chart axis 2 of 5</t>
  </si>
  <si>
    <t xml:space="preserve">Memory</t>
  </si>
  <si>
    <t xml:space="preserve">Memori</t>
  </si>
  <si>
    <t xml:space="preserve">Radar chart axis 3 of 5</t>
  </si>
  <si>
    <t xml:space="preserve">Attention</t>
  </si>
  <si>
    <t xml:space="preserve">Perhatian</t>
  </si>
  <si>
    <t xml:space="preserve">Radar chart axis 4 of 5</t>
  </si>
  <si>
    <t xml:space="preserve">Executive</t>
  </si>
  <si>
    <t xml:space="preserve">Eksekutif</t>
  </si>
  <si>
    <t xml:space="preserve">Radar chart axis 5 of 5</t>
  </si>
  <si>
    <t xml:space="preserve">Risk</t>
  </si>
  <si>
    <t xml:space="preserve">Risiko</t>
  </si>
  <si>
    <t xml:space="preserve">Radar chart description (screen readers)</t>
  </si>
  <si>
    <t xml:space="preserve">Baseline radar: two of five parts measured, three still empty</t>
  </si>
  <si>
    <t xml:space="preserve">Radar garis dasar: dua daripada lima bahagian diukur, tiga masih kosong.</t>
  </si>
  <si>
    <t xml:space="preserve">Paragraph 1 of 3</t>
  </si>
  <si>
    <t xml:space="preserve">The speed game and your quiz answers gave us two axes — speed and risk.</t>
  </si>
  <si>
    <t xml:space="preserve">Permainan kelajuan dan jawapan kuiz anda memberi kami dua paksi — kelajuan dan risiko.</t>
  </si>
  <si>
    <t xml:space="preserve">Paragraph 2 of 3</t>
  </si>
  <si>
    <t xml:space="preserve">But your brain doesn't work on two dimensions. Memory, attention, and executive function each tell a different story, and you can score well on one while struggling with another.</t>
  </si>
  <si>
    <t xml:space="preserve">Tetapi otak anda tidak berfungsi pada dua dimensi. Memori, perhatian dan fungsi eksekutif masing-masing menceritakan kisah berbeza, dan anda boleh cemerlang pada satu sementara bergelut dengan yang lain.</t>
  </si>
  <si>
    <t xml:space="preserve">Paragraph 3 of 3</t>
  </si>
  <si>
    <t xml:space="preserve">The full test fills in the rest, so your recommendations actually match your brain.</t>
  </si>
  <si>
    <t xml:space="preserve">Ujian penuh mengisi yang selebihnya, supaya saranan anda benar-benar padan dengan otak anda.</t>
  </si>
  <si>
    <t xml:space="preserve">The speed game and your quiz answers gave us two axes: speed and risk. Today speed came in low, and one game on one day is a noisy signal.</t>
  </si>
  <si>
    <t xml:space="preserve">Permainan kelajuan dan jawapan kuiz anda memberi kami dua paksi: kelajuan dan risiko. Hari ini kelajuan datang rendah, dan satu permainan pada satu hari ialah isyarat yang bising.</t>
  </si>
  <si>
    <t xml:space="preserve">Memory, attention and executive function each tell a different story, and you can be slow on speed while strong on all three.</t>
  </si>
  <si>
    <t xml:space="preserve">Memori, perhatian dan fungsi eksekutif masing-masing menceritakan kisah berbeza, dan anda boleh perlahan pada kelajuan tetapi kukuh pada ketiga-tiganya.</t>
  </si>
  <si>
    <t xml:space="preserve">The full test finds which one is actually holding you back, so your strategies target the real bottleneck.</t>
  </si>
  <si>
    <t xml:space="preserve">Ujian penuh mencari yang mana sebenarnya menghalang anda, supaya strategi anda menyasarkan halangan yang sebenar.</t>
  </si>
  <si>
    <t xml:space="preserve">Today's game measured one thing: how fast you take in information and respond. Your quiz answers gave us the second: your risk profile.</t>
  </si>
  <si>
    <t xml:space="preserve">Permainan hari ini mengukur satu perkara: sepantas mana anda menerima maklumat dan bertindak balas. Jawapan kuiz anda memberi kami yang kedua: profil risiko anda.</t>
  </si>
  <si>
    <t xml:space="preserve">Brain health is not one number. Memory, attention and executive function each do a different job, and it is common to be steady in one and slower in another.</t>
  </si>
  <si>
    <t xml:space="preserve">Kesihatan otak bukan satu nombor. Memori, perhatian dan fungsi eksekutif masing-masing melakukan kerja berbeza, dan biasa untuk seseorang stabil pada satu dan lebih perlahan pada yang lain.</t>
  </si>
  <si>
    <t xml:space="preserve">The full test covers the remaining three, so what we recommend matches your whole profile.</t>
  </si>
  <si>
    <t xml:space="preserve">Ujian penuh meliputi tiga yang selebihnya, supaya apa yang kami sarankan padan dengan seluruh profil anda.</t>
  </si>
  <si>
    <t xml:space="preserve">Today's game measured one thing: how fast you take in information and respond. A slower result on a single day can come from tiredness, medication, or simply an unfamiliar game.</t>
  </si>
  <si>
    <t xml:space="preserve">Permainan hari ini mengukur satu perkara: sepantas mana anda menerima maklumat dan bertindak balas. Keputusan yang lebih perlahan pada satu hari boleh berpunca daripada keletihan, ubat, atau sekadar permainan yang belum biasa.</t>
  </si>
  <si>
    <t xml:space="preserve">Memory, attention and executive function each do a different job, and a slow speed does not tell us how those three are doing.</t>
  </si>
  <si>
    <t xml:space="preserve">Memori, perhatian dan fungsi eksekutif masing-masing melakukan kerja berbeza, dan kelajuan yang perlahan tidak memberitahu kami keadaan ketiga-tiganya.</t>
  </si>
  <si>
    <t xml:space="preserve">The full test covers the remaining three, so you and your doctor see the whole picture instead of one number.</t>
  </si>
  <si>
    <t xml:space="preserve">Ujian penuh meliputi tiga yang selebihnya, supaya anda dan doktor anda melihat gambaran keseluruhan dan bukan satu nombor.</t>
  </si>
  <si>
    <t xml:space="preserve">Section 5 · The test</t>
  </si>
  <si>
    <t xml:space="preserve">Take the test</t>
  </si>
  <si>
    <t xml:space="preserve">Ambil ujian</t>
  </si>
  <si>
    <t xml:space="preserve">How the test works</t>
  </si>
  <si>
    <t xml:space="preserve">Cara ujian ini berfungsi</t>
  </si>
  <si>
    <t xml:space="preserve">What do you do now? Take the FULL ReCOGnAIze assessment</t>
  </si>
  <si>
    <t xml:space="preserve">Apa yang anda buat sekarang? Ambil penilaian ReCOGnAIze yang PENUH</t>
  </si>
  <si>
    <t xml:space="preserve">P20</t>
  </si>
  <si>
    <t xml:space="preserve">Under 40 versions (40+ wording is in the rows below)</t>
  </si>
  <si>
    <t xml:space="preserve">Validated against MRI scans, built on a five-year NTU study of 1,500 people and published in Alzheimer's &amp; Dementia.</t>
  </si>
  <si>
    <t xml:space="preserve">Disahkan terhadap imbasan MRI, dibina atas kajian NTU selama lima tahun terhadap 1,500 orang dan diterbitkan dalam Alzheimer's &amp; Dementia.</t>
  </si>
  <si>
    <t xml:space="preserve">Preview only. The page adds the journal name "Alzheimer's &amp; Dementia" (italic, always English) and a Latin full stop.</t>
  </si>
  <si>
    <t xml:space="preserve">Body — up to the journal name</t>
  </si>
  <si>
    <t xml:space="preserve">Validated against MRI scans, built on a five-year NTU study of 1,500 people and published in </t>
  </si>
  <si>
    <t xml:space="preserve">Disahkan terhadap imbasan MRI, dibina atas kajian NTU selama lima tahun terhadap 1,500 orang dan diterbitkan dalam </t>
  </si>
  <si>
    <t xml:space="preserve">Followed by the journal name in italics, then ".".</t>
  </si>
  <si>
    <t xml:space="preserve">Validated against MRI brain scans, built on a five-year NTU study of 1,500 adults, published in </t>
  </si>
  <si>
    <t xml:space="preserve">Disahkan terhadap imbasan otak MRI, dibina atas kajian NTU selama lima tahun terhadap 1,500 orang dewasa, diterbitkan dalam </t>
  </si>
  <si>
    <t xml:space="preserve">Journal name</t>
  </si>
  <si>
    <t xml:space="preserve">Alzheimer's &amp; Dementia</t>
  </si>
  <si>
    <t xml:space="preserve">Journal title, hardcoded in English in every language. Italic.</t>
  </si>
  <si>
    <t xml:space="preserve">"How it works" eyebrow</t>
  </si>
  <si>
    <t xml:space="preserve">How it works</t>
  </si>
  <si>
    <t xml:space="preserve">Cara ia berfungsi</t>
  </si>
  <si>
    <t xml:space="preserve">"How it works" heading</t>
  </si>
  <si>
    <t xml:space="preserve">From test to teleconsult in three steps</t>
  </si>
  <si>
    <t xml:space="preserve">Dari ujian ke telekonsultasi dalam tiga langkah</t>
  </si>
  <si>
    <t xml:space="preserve">Step 1 — label</t>
  </si>
  <si>
    <t xml:space="preserve">Langkah 1</t>
  </si>
  <si>
    <t xml:space="preserve">Step 1 — title</t>
  </si>
  <si>
    <t xml:space="preserve">Take an online test</t>
  </si>
  <si>
    <t xml:space="preserve">Ambil ujian dalam talian</t>
  </si>
  <si>
    <t xml:space="preserve">Step 1 — body</t>
  </si>
  <si>
    <t xml:space="preserve">An online assessment with specialised games that measure how your brain handles four aspects — speed, focus, planning, and memory.</t>
  </si>
  <si>
    <t xml:space="preserve">Penilaian dalam talian dengan permainan khusus yang mengukur cara otak anda menangani empat aspek — kelajuan, fokus, perancangan dan memori.</t>
  </si>
  <si>
    <t xml:space="preserve">Step 2 — label</t>
  </si>
  <si>
    <t xml:space="preserve">Langkah 2</t>
  </si>
  <si>
    <t xml:space="preserve">Step 2 — title</t>
  </si>
  <si>
    <t xml:space="preserve">Get your full report</t>
  </si>
  <si>
    <t xml:space="preserve">Dapatkan laporan penuh anda</t>
  </si>
  <si>
    <t xml:space="preserve">Step 2 — body</t>
  </si>
  <si>
    <t xml:space="preserve">Your overall risk level for mild cognitive impairment, a breakdown across the four domains, and — where relevant — the most likely underlying cause.</t>
  </si>
  <si>
    <t xml:space="preserve">Tahap risiko keseluruhan anda bagi gangguan kognitif ringan, pecahan merentas empat domain, dan — jika berkaitan — punca asas yang paling berkemungkinan.</t>
  </si>
  <si>
    <t xml:space="preserve">Step 3 — label</t>
  </si>
  <si>
    <t xml:space="preserve">Langkah 3</t>
  </si>
  <si>
    <t xml:space="preserve">Step 3 — title</t>
  </si>
  <si>
    <t xml:space="preserve">Hop on a teleconsult</t>
  </si>
  <si>
    <t xml:space="preserve">Sertai telekonsultasi</t>
  </si>
  <si>
    <t xml:space="preserve">Step 3 — body</t>
  </si>
  <si>
    <t xml:space="preserve">A certified doctor analyses your report with you over a telehealth consultation and explains it in detail with clear next steps.</t>
  </si>
  <si>
    <t xml:space="preserve">Doktor bertauliah menganalisis laporan anda bersama anda melalui konsultasi telekesihatan dan menerangkannya secara terperinci dengan langkah seterusnya yang jelas.</t>
  </si>
  <si>
    <t xml:space="preserve">Step 1 — chip 1 of 4</t>
  </si>
  <si>
    <t xml:space="preserve">Step 1 — chip 2 of 4</t>
  </si>
  <si>
    <t xml:space="preserve">Focus</t>
  </si>
  <si>
    <t xml:space="preserve">Fokus</t>
  </si>
  <si>
    <t xml:space="preserve">Step 1 — chip 3 of 4</t>
  </si>
  <si>
    <t xml:space="preserve">Planning</t>
  </si>
  <si>
    <t xml:space="preserve">Perancangan</t>
  </si>
  <si>
    <t xml:space="preserve">Step 1 — chip 4 of 4</t>
  </si>
  <si>
    <t xml:space="preserve">Talk to our doctors or clinic assistants to find out more</t>
  </si>
  <si>
    <t xml:space="preserve">Berbual dengan doktor atau pembantu klinik kami untuk maklumat lanjut</t>
  </si>
  <si>
    <t xml:space="preserve">A sentence on a button: wraps to two lines on a phone.</t>
  </si>
  <si>
    <t xml:space="preserve">Button, after it's tapped</t>
  </si>
  <si>
    <t xml:space="preserve">Noted — our team will take it from here</t>
  </si>
  <si>
    <t xml:space="preserve">Dicatat — pasukan kami akan meneruskan dari sini</t>
  </si>
  <si>
    <t xml:space="preserve">Doctor's quote</t>
  </si>
  <si>
    <t xml:space="preserve">Each of these games measures a specific brain function the same way I would assess it in clinic. We are not testing whether you can play, we are testing how well each part of your brain is doing the work it does for you every day.</t>
  </si>
  <si>
    <t xml:space="preserve">Setiap permainan ini mengukur fungsi otak tertentu dengan cara yang sama seperti saya menilainya di klinik. Kami tidak menguji sama ada anda boleh bermain, kami menguji sebaik mana setiap bahagian otak anda melakukan kerja hariannya untuk anda.</t>
  </si>
  <si>
    <t xml:space="preserve">Doctor's name</t>
  </si>
  <si>
    <t xml:space="preserve">A/Prof Nagaendran Kandiah</t>
  </si>
  <si>
    <t xml:space="preserve">Prof Madya Nagaendran Kandiah</t>
  </si>
  <si>
    <t xml:space="preserve">Doctor's role</t>
  </si>
  <si>
    <t xml:space="preserve">Co-founder, Gray Matter Solutions</t>
  </si>
  <si>
    <t xml:space="preserve">Pengasas bersama, Gray Matter Solutions</t>
  </si>
  <si>
    <t xml:space="preserve">Doctor's credentials</t>
  </si>
  <si>
    <t xml:space="preserve">MBBS, FAMS (Neurology), FRCP (Edin)</t>
  </si>
  <si>
    <t xml:space="preserve">MBBS, FAMS (Neurologi), FRCP (Edin)</t>
  </si>
  <si>
    <t xml:space="preserve">Section 6 · What happens next</t>
  </si>
  <si>
    <t xml:space="preserve">What happens next</t>
  </si>
  <si>
    <t xml:space="preserve">Apa yang berlaku seterusnya</t>
  </si>
  <si>
    <t xml:space="preserve">Take the next step with ReCOGnAIze</t>
  </si>
  <si>
    <t xml:space="preserve">Teruskan langkah anda dengan ReCOGnAIze</t>
  </si>
  <si>
    <t xml:space="preserve">Body — paragraph 1</t>
  </si>
  <si>
    <t xml:space="preserve">Your Brain Health Score and recommendations are on their way to your inbox. Today's quiz estimates your risk profile; the ReCOGnAIze assessment shows how your brain is actually performing.</t>
  </si>
  <si>
    <t xml:space="preserve">Skor Kesihatan Otak dan cadangan anda sedang dalam perjalanan ke peti masuk anda. Kuiz hari ini menganggarkan profil risiko anda; penilaian ReCOGnAIze menunjukkan prestasi sebenar otak anda.</t>
  </si>
  <si>
    <t xml:space="preserve">Body — paragraph 2</t>
  </si>
  <si>
    <t xml:space="preserve">Whatever your score today, most of the factors behind it can change. That is the point of checking early.</t>
  </si>
  <si>
    <t xml:space="preserve">Walau apa pun skor anda hari ini, kebanyakan faktor di sebaliknya boleh berubah. Itulah gunanya memeriksa lebih awal.</t>
  </si>
  <si>
    <t xml:space="preserve">Product card — name</t>
  </si>
  <si>
    <t xml:space="preserve">ReCOGnAIze brain health assessment</t>
  </si>
  <si>
    <t xml:space="preserve">Penilaian kesihatan otak ReCOGnAIze</t>
  </si>
  <si>
    <t xml:space="preserve">Product card — point 1 of 3</t>
  </si>
  <si>
    <t xml:space="preserve">Developed at NTU's Dementia Research Centre</t>
  </si>
  <si>
    <t xml:space="preserve">Dibangunkan di Dementia Research Centre, NTU</t>
  </si>
  <si>
    <t xml:space="preserve">Product card — point 2 of 3</t>
  </si>
  <si>
    <t xml:space="preserve">Registered with Singapore's HSA</t>
  </si>
  <si>
    <t xml:space="preserve">Berdaftar dengan HSA Singapura</t>
  </si>
  <si>
    <t xml:space="preserve">Product card — point 3 of 3</t>
  </si>
  <si>
    <t xml:space="preserve">Results reviewed with a medical professional</t>
  </si>
  <si>
    <t xml:space="preserve">Keputusan disemak bersama profesional perubatan</t>
  </si>
  <si>
    <t xml:space="preserve">Callout</t>
  </si>
  <si>
    <t xml:space="preserve">Talk to our doctors or clinic assistants</t>
  </si>
  <si>
    <t xml:space="preserve">Berbual dengan doktor atau pembantu klinik kami</t>
  </si>
  <si>
    <t xml:space="preserve">Tickbox — tips opt-in</t>
  </si>
  <si>
    <t xml:space="preserve">Send me brain health tips, and early access when we launch.</t>
  </si>
  <si>
    <t xml:space="preserve">Hantarkan saya tip kesihatan otak, dan akses awal apabila kami dilancarkan.</t>
  </si>
  <si>
    <t xml:space="preserve">Credibility line</t>
  </si>
  <si>
    <t xml:space="preserve">Built with NTU's Dementia Research Centre · 2024 Lancet Commission</t>
  </si>
  <si>
    <t xml:space="preserve">Dibina bersama Dementia Research Centre, NTU · Suruhanjaya Lancet 2024</t>
  </si>
  <si>
    <t xml:space="preserve">Section 7 · Wrap up</t>
  </si>
  <si>
    <t xml:space="preserve">Quote — paragraph 1 of 1</t>
  </si>
  <si>
    <t xml:space="preserve">Tomorrow's meeting is a tough one, and if I don't have my attention covered, I can't perform well. Thanks to checking my brain, I'm aware of how to optimize it now. Glad I found ReCOGnAIze!</t>
  </si>
  <si>
    <t xml:space="preserve">Mesyuarat esok satu yang sukar, dan kalau perhatian saya tidak terjaga, saya tidak dapat menyampaikan yang terbaik. Terima kasih kerana saya memeriksa otak saya, kini saya tahu cara mengoptimumkannya. Bersyukur saya jumpa ReCOGnAIze!</t>
  </si>
  <si>
    <t xml:space="preserve">Speed was my worst of the five, which stung. Turns out speed wasn't the problem — my executive function was, and that's why my afternoons fell apart. Fixed the right thing. Glad I found ReCOGnAIze!</t>
  </si>
  <si>
    <t xml:space="preserve">Kelajuan ialah yang paling lemah antara lima, dan itu mengecewakan. Ternyata kelajuan bukan masalahnya — fungsi eksekutif saya yang bermasalah, dan itulah sebabnya waktu petang saya runtuh. Saya betulkan yang betul. Bersyukur saya jumpa ReCOGnAIze!</t>
  </si>
  <si>
    <t xml:space="preserve">Quote — paragraph 1 of 2</t>
  </si>
  <si>
    <t xml:space="preserve">I kept losing the thread in conversations and blamed my age. The report showed it was my attention that had slipped, not my memory.</t>
  </si>
  <si>
    <t xml:space="preserve">Saya sering hilang arah dalam perbualan dan menyalahkan usia saya. Laporan menunjukkan perhatian saya yang merosot, bukan memori.</t>
  </si>
  <si>
    <t xml:space="preserve">Quote — paragraph 2 of 2</t>
  </si>
  <si>
    <t xml:space="preserve">Now I know exactly what to work on, and my doctor has the numbers.</t>
  </si>
  <si>
    <t xml:space="preserve">Sekarang saya tahu dengan tepat apa yang perlu diusahakan, dan doktor saya ada nombornya.</t>
  </si>
  <si>
    <t xml:space="preserve">My first score came back slower than I expected, and it worried me.</t>
  </si>
  <si>
    <t xml:space="preserve">Skor pertama saya kembali lebih perlahan daripada yang saya sangka, dan itu merunsingkan saya.</t>
  </si>
  <si>
    <t xml:space="preserve">The full test showed my memory and attention were fine. It was one area, and my doctor had numbers to work with.</t>
  </si>
  <si>
    <t xml:space="preserve">Ujian penuh menunjukkan memori dan perhatian saya baik. Hanya satu bahagian, dan doktor saya ada nombor untuk digunakan.</t>
  </si>
  <si>
    <t xml:space="preserve">Quote attribution</t>
  </si>
  <si>
    <t xml:space="preserve">Under 40, fast result; Under 40, slower result — with a quiz age</t>
  </si>
  <si>
    <t xml:space="preserve">— Chelsea, aged {ageLabel} like you</t>
  </si>
  <si>
    <t xml:space="preserve">— Chelsea, berumur {ageLabel} seperti anda</t>
  </si>
  <si>
    <t xml:space="preserve">Under 40, fast result; Under 40, slower result — no quiz age</t>
  </si>
  <si>
    <t xml:space="preserve">— Chelsea, similar age as you</t>
  </si>
  <si>
    <t xml:space="preserve">— Chelsea, sebaya dengan anda</t>
  </si>
  <si>
    <t xml:space="preserve">— Siew Ling, 64, similar age as you</t>
  </si>
  <si>
    <t xml:space="preserve">— Siew Ling, 64, sebaya dengan anda</t>
  </si>
  <si>
    <t xml:space="preserve">Card heading</t>
  </si>
  <si>
    <t xml:space="preserve">Still need time to think?</t>
  </si>
  <si>
    <t xml:space="preserve">Masih perlu masa untuk berfikir?</t>
  </si>
  <si>
    <t xml:space="preserve">Card — paragraph 1</t>
  </si>
  <si>
    <t xml:space="preserve">Your score is already in your inbox, along with a short set of strategies for pushing it up.</t>
  </si>
  <si>
    <t xml:space="preserve">Skor anda sudah ada dalam peti masuk, bersama satu set strategi ringkas untuk menaikkannya.</t>
  </si>
  <si>
    <t xml:space="preserve">Your results are already in your inbox, with a plain explanation of every score.</t>
  </si>
  <si>
    <t xml:space="preserve">Keputusan anda sudah ada dalam peti masuk, dengan penjelasan mudah bagi setiap skor.</t>
  </si>
  <si>
    <t xml:space="preserve">Your results are in your inbox with a plain explanation of every score.</t>
  </si>
  <si>
    <t xml:space="preserve">Keputusan anda ada dalam peti masuk dengan penjelasan mudah bagi setiap skor.</t>
  </si>
  <si>
    <t xml:space="preserve">Card — paragraph 2</t>
  </si>
  <si>
    <t xml:space="preserve">When you're ready to test the remaining three brain domains, you know where we are.</t>
  </si>
  <si>
    <t xml:space="preserve">Apabila anda sedia menguji tiga domain otak yang lain, anda tahu di mana kami berada.</t>
  </si>
  <si>
    <t xml:space="preserve">When you're ready to find which domain is actually slowing you down, you know where we are.</t>
  </si>
  <si>
    <t xml:space="preserve">Apabila anda sedia mencari domain yang sebenarnya memperlahankan anda, anda tahu di mana kami berada.</t>
  </si>
  <si>
    <t xml:space="preserve">When you're ready to check the remaining three domains, we'll be here. You can bring the report to your doctor.</t>
  </si>
  <si>
    <t xml:space="preserve">Apabila anda sedia memeriksa tiga domain yang lain, kami akan berada di sini. Anda boleh bawa laporan itu kepada doktor anda.</t>
  </si>
  <si>
    <t xml:space="preserve">If the slower result worries you, bring the report to your doctor. We'll be here for the other three domains.</t>
  </si>
  <si>
    <t xml:space="preserve">Jika keputusan yang lebih perlahan itu merunsingkan anda, bawa laporan itu kepada doktor anda. Kami akan berada di sini untuk tiga domain yang lain.</t>
  </si>
  <si>
    <t xml:space="preserve">Research line (footer)</t>
  </si>
  <si>
    <t xml:space="preserve">Built on clinical research by Nanyang Technological University, LKC Medicine, Dementia Research Centre Singapore.</t>
  </si>
  <si>
    <t xml:space="preserve">Dibina atas penyelidikan klinikal oleh Nanyang Technological University, LKC Medicine, Dementia Research Centre Singapore.</t>
  </si>
  <si>
    <t xml:space="preserve">Filled into other lines</t>
  </si>
  <si>
    <t xml:space="preserve">Domain name ({domain})</t>
  </si>
  <si>
    <t xml:space="preserve">processing speed</t>
  </si>
  <si>
    <t xml:space="preserve">kelajuan pemprosesan</t>
  </si>
  <si>
    <t xml:space="preserve">Not shown alone: fills {domain} in the report lines above. Lower case in English because it sits mid-sentence.</t>
  </si>
  <si>
    <t xml:space="preserve">Age band 18-29 ({ageLabel})</t>
  </si>
  <si>
    <t xml:space="preserve">Not shown alone: fills {ageLabel} and the age chip.</t>
  </si>
  <si>
    <t xml:space="preserve">Age band 30-39 ({ageLabel})</t>
  </si>
  <si>
    <t xml:space="preserve">Age band 40-49 ({ageLabel})</t>
  </si>
  <si>
    <t xml:space="preserve">Age band 50-59 ({ageLabel})</t>
  </si>
  <si>
    <t xml:space="preserve">Age band 60+ ({ageLabel})</t>
  </si>
  <si>
    <t xml:space="preserve">60 and over</t>
  </si>
  <si>
    <t xml:space="preserve">"People aged…" ({peers})</t>
  </si>
  <si>
    <t xml:space="preserve">people aged {label}</t>
  </si>
  <si>
    <t xml:space="preserve">orang berumur {label}</t>
  </si>
  <si>
    <t xml:space="preserve">Fills {peers} in the shared message. {label} is an age range like 40-49.</t>
  </si>
  <si>
    <t xml:space="preserve">"People your age" ({peers})</t>
  </si>
  <si>
    <t xml:space="preserve">people your age</t>
  </si>
  <si>
    <t xml:space="preserve">orang sebaya anda</t>
  </si>
  <si>
    <t xml:space="preserve">Fills {peers} when the age is unknown.</t>
  </si>
  <si>
    <t xml:space="preserve">The full picture | ReCOGnAIze</t>
  </si>
  <si>
    <t xml:space="preserve">Gambaran penuh | ReCOGnAIze</t>
  </si>
  <si>
    <t xml:space="preserve">Back link</t>
  </si>
  <si>
    <t xml:space="preserve">← Back to your result</t>
  </si>
  <si>
    <t xml:space="preserve">← Kembali ke keputusan anda</t>
  </si>
  <si>
    <t xml:space="preserve">Eyebrow</t>
  </si>
  <si>
    <t xml:space="preserve">The full picture</t>
  </si>
  <si>
    <t xml:space="preserve">Gambaran penuh</t>
  </si>
  <si>
    <t xml:space="preserve">Take the complete brain health assessment</t>
  </si>
  <si>
    <t xml:space="preserve">Ambil penilaian kesihatan otak yang lengkap</t>
  </si>
  <si>
    <t xml:space="preserve">Research link</t>
  </si>
  <si>
    <t xml:space="preserve">Validated in peer-reviewed research</t>
  </si>
  <si>
    <t xml:space="preserve">Disahkan dalam penyelidikan yang dinilai rakan sebaya</t>
  </si>
  <si>
    <t xml:space="preserve">Product name</t>
  </si>
  <si>
    <t xml:space="preserve">BrainScan brain health assessment</t>
  </si>
  <si>
    <t xml:space="preserve">Penilaian kesihatan otak BrainScan</t>
  </si>
  <si>
    <t xml:space="preserve">Product note</t>
  </si>
  <si>
    <t xml:space="preserve">Developed at NTU's Dementia Research Centre · Registered with Singapore's HSA</t>
  </si>
  <si>
    <t xml:space="preserve">Dibangunkan di Dementia Research Centre NTU · Berdaftar dengan HSA Singapura</t>
  </si>
  <si>
    <t xml:space="preserve">What's included 1 of 3</t>
  </si>
  <si>
    <t xml:space="preserve">Clinically-validated neuroscientific games to detect specific brain functions</t>
  </si>
  <si>
    <t xml:space="preserve">Permainan neurosains yang disahkan secara klinikal untuk mengesan fungsi otak tertentu</t>
  </si>
  <si>
    <t xml:space="preserve">What's included 2 of 3</t>
  </si>
  <si>
    <t xml:space="preserve">All four cognitive domains: processing speed, memory, attention and executive function</t>
  </si>
  <si>
    <t xml:space="preserve">Kesemua empat domain kognitif: kelajuan pemprosesan, memori, perhatian dan fungsi eksekutif</t>
  </si>
  <si>
    <t xml:space="preserve">What's included 3 of 3</t>
  </si>
  <si>
    <t xml:space="preserve">Review &amp; recommendations with a full in-depth report</t>
  </si>
  <si>
    <t xml:space="preserve">Ulasan &amp; saranan dengan laporan mendalam yang penuh</t>
  </si>
  <si>
    <t xml:space="preserve">Offer card</t>
  </si>
  <si>
    <t xml:space="preserve">eyebrow</t>
  </si>
  <si>
    <t xml:space="preserve">Special offer</t>
  </si>
  <si>
    <t xml:space="preserve">Tawaran istimewa</t>
  </si>
  <si>
    <t xml:space="preserve">title</t>
  </si>
  <si>
    <t xml:space="preserve">World Alzheimer's Month</t>
  </si>
  <si>
    <t xml:space="preserve">Bulan Alzheimer Sedunia</t>
  </si>
  <si>
    <t xml:space="preserve">window</t>
  </si>
  <si>
    <t xml:space="preserve">1 – 30 September 2026</t>
  </si>
  <si>
    <t xml:space="preserve">productName</t>
  </si>
  <si>
    <t xml:space="preserve">BrainScan Cognitive Test</t>
  </si>
  <si>
    <t xml:space="preserve">Ujian Kognitif BrainScan</t>
  </si>
  <si>
    <t xml:space="preserve">productSub</t>
  </si>
  <si>
    <t xml:space="preserve">4 cognitive domains</t>
  </si>
  <si>
    <t xml:space="preserve">4 domain kognitif</t>
  </si>
  <si>
    <t xml:space="preserve">Domain 1 of 4</t>
  </si>
  <si>
    <t xml:space="preserve">Processing Speed</t>
  </si>
  <si>
    <t xml:space="preserve">Kelajuan Pemprosesan</t>
  </si>
  <si>
    <t xml:space="preserve">Domain 2 of 4</t>
  </si>
  <si>
    <t xml:space="preserve">Executive Function</t>
  </si>
  <si>
    <t xml:space="preserve">Fungsi Eksekutif</t>
  </si>
  <si>
    <t xml:space="preserve">Domain 3 of 4</t>
  </si>
  <si>
    <t xml:space="preserve">Domain 4 of 4</t>
  </si>
  <si>
    <t xml:space="preserve">normalPrice</t>
  </si>
  <si>
    <t xml:space="preserve">Normal price</t>
  </si>
  <si>
    <t xml:space="preserve">Harga biasa</t>
  </si>
  <si>
    <t xml:space="preserve">discountLabel</t>
  </si>
  <si>
    <t xml:space="preserve">Alzheimer's Month discount</t>
  </si>
  <si>
    <t xml:space="preserve">Diskaun Bulan Alzheimer</t>
  </si>
  <si>
    <t xml:space="preserve">total</t>
  </si>
  <si>
    <t xml:space="preserve">Jumlah</t>
  </si>
  <si>
    <t xml:space="preserve">claimCode</t>
  </si>
  <si>
    <t xml:space="preserve">Your claim code:</t>
  </si>
  <si>
    <t xml:space="preserve">Kod tebusan anda:</t>
  </si>
  <si>
    <t xml:space="preserve">preparing</t>
  </si>
  <si>
    <t xml:space="preserve">Preparing…</t>
  </si>
  <si>
    <t xml:space="preserve">Menyediakan…</t>
  </si>
  <si>
    <t xml:space="preserve">download</t>
  </si>
  <si>
    <t xml:space="preserve">Download proof</t>
  </si>
  <si>
    <t xml:space="preserve">Muat turun bukti tawaran</t>
  </si>
  <si>
    <t xml:space="preserve">redeemNote</t>
  </si>
  <si>
    <t xml:space="preserve">Show this at the front desk to claim it.</t>
  </si>
  <si>
    <t xml:space="preserve">Tunjukkan ini di kaunter depan untuk menebusnya.</t>
  </si>
  <si>
    <t xml:space="preserve">FAQ</t>
  </si>
  <si>
    <t xml:space="preserve">Question 1</t>
  </si>
  <si>
    <t xml:space="preserve">What is BrainScan?</t>
  </si>
  <si>
    <t xml:space="preserve">Apakah itu BrainScan?</t>
  </si>
  <si>
    <t xml:space="preserve">Answer 1</t>
  </si>
  <si>
    <t xml:space="preserve">A digital brain health assessment developed at NTU's Dementia Research Centre and registered with Singapore's HSA.</t>
  </si>
  <si>
    <t xml:space="preserve">Penilaian kesihatan otak digital yang dibangunkan di Dementia Research Centre NTU dan berdaftar dengan HSA Singapura.</t>
  </si>
  <si>
    <t xml:space="preserve">Question 2</t>
  </si>
  <si>
    <t xml:space="preserve">How is this 3-minute quiz different from BrainScan?</t>
  </si>
  <si>
    <t xml:space="preserve">Apa bezanya kuiz 3 minit ini dengan BrainScan?</t>
  </si>
  <si>
    <t xml:space="preserve">Answer 2</t>
  </si>
  <si>
    <t xml:space="preserve">This quiz is a free, educational estimate based on your modifiable risk factors. BrainScan is the full assessment, validated in peer-reviewed research, that shows how your brain is actually performing.</t>
  </si>
  <si>
    <t xml:space="preserve">Kuiz ini ialah anggaran pendidikan yang percuma berdasarkan faktor risiko anda yang boleh diubah. BrainScan ialah penilaian penuh, disahkan dalam penyelidikan yang dinilai rakan sebaya, yang menunjukkan prestasi otak anda yang sebenar.</t>
  </si>
  <si>
    <t xml:space="preserve">Question 3</t>
  </si>
  <si>
    <t xml:space="preserve">Is this assessment legit?</t>
  </si>
  <si>
    <t xml:space="preserve">Adakah penilaian ini sah?</t>
  </si>
  <si>
    <t xml:space="preserve">Answer 3</t>
  </si>
  <si>
    <t xml:space="preserve">Yes. BrainScan was developed and validated at NTU's Lee Kong Chian School of Medicine, Dementia Research Centre, and is registered with Singapore's HSA.</t>
  </si>
  <si>
    <t xml:space="preserve">Ya. BrainScan dibangunkan dan disahkan di Lee Kong Chian School of Medicine NTU, Dementia Research Centre, dan berdaftar dengan HSA Singapura.</t>
  </si>
  <si>
    <t xml:space="preserve">Question 4</t>
  </si>
  <si>
    <t xml:space="preserve">Who is it for?</t>
  </si>
  <si>
    <t xml:space="preserve">Untuk siapa ia sesuai?</t>
  </si>
  <si>
    <t xml:space="preserve">Answer 4</t>
  </si>
  <si>
    <t xml:space="preserve">Anyone staying ahead of their brain health: whether you want to maintain peak cognitive performance, you're navigating hormonal changes, or you're supporting a loved one living with dementia.</t>
  </si>
  <si>
    <t xml:space="preserve">Sesiapa yang mahu mendahului kesihatan otaknya: sama ada anda mahu mengekalkan prestasi kognitif terbaik, sedang melalui perubahan hormon, atau menjaga orang tersayang yang hidup dengan demensia.</t>
  </si>
  <si>
    <t xml:space="preserve">Question 5</t>
  </si>
  <si>
    <t xml:space="preserve">What should I expect next?</t>
  </si>
  <si>
    <t xml:space="preserve">Apa yang seterusnya?</t>
  </si>
  <si>
    <t xml:space="preserve">Answer 5</t>
  </si>
  <si>
    <t xml:space="preserve">Download your offer proof and show it at the front desk to claim the discounted assessment. The test itself runs in a browser and takes about ten minutes.</t>
  </si>
  <si>
    <t xml:space="preserve">Muat turun bukti tawaran anda dan tunjukkannya di kaunter depan untuk menebus penilaian berdiskaun. Ujian itu sendiri berjalan dalam pelayar dan mengambil masa kira-kira sepuluh minit.</t>
  </si>
  <si>
    <t xml:space="preserve">Disclaimer</t>
  </si>
  <si>
    <t xml:space="preserve">This report is intended for wellness screening and educational purposes only. It does not diagnose medical disease or replace professional medical evaluation. Findings should be interpreted together with clinical consultation, lifestyle assessment, and where appropriate, biomedical evaluation.</t>
  </si>
  <si>
    <t xml:space="preserve">Laporan ini bertujuan untuk pemeriksaan kesejahteraan dan pendidikan sahaja. Ia tidak mendiagnosis penyakit perubatan atau menggantikan penilaian perubatan profesional. Penemuan harus ditafsirkan bersama konsultasi klinikal, penilaian gaya hidup dan, jika bersesuaian, penilaian bioperubatan.</t>
  </si>
</sst>
</file>

<file path=xl/styles.xml><?xml version="1.0" encoding="utf-8"?>
<styleSheet xmlns="http://schemas.openxmlformats.org/spreadsheetml/2006/main">
  <numFmts count="3">
    <numFmt numFmtId="164" formatCode="General"/>
    <numFmt numFmtId="165" formatCode="General"/>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b val="true"/>
      <sz val="14"/>
      <color rgb="FF1F3864"/>
      <name val="Arial"/>
      <family val="0"/>
      <charset val="1"/>
    </font>
    <font>
      <i val="true"/>
      <sz val="10"/>
      <color rgb="FF595959"/>
      <name val="Arial"/>
      <family val="0"/>
      <charset val="1"/>
    </font>
    <font>
      <b val="true"/>
      <sz val="10"/>
      <color rgb="FFFFFFFF"/>
      <name val="Arial"/>
      <family val="0"/>
      <charset val="1"/>
    </font>
    <font>
      <b val="true"/>
      <sz val="10"/>
      <color rgb="FF9C0006"/>
      <name val="Arial"/>
      <family val="0"/>
      <charset val="1"/>
    </font>
  </fonts>
  <fills count="10">
    <fill>
      <patternFill patternType="none"/>
    </fill>
    <fill>
      <patternFill patternType="gray125"/>
    </fill>
    <fill>
      <patternFill patternType="solid">
        <fgColor rgb="FFFFF9DB"/>
        <bgColor rgb="FFFDECEA"/>
      </patternFill>
    </fill>
    <fill>
      <patternFill patternType="solid">
        <fgColor rgb="FFEDEDED"/>
        <bgColor rgb="FFFDECEA"/>
      </patternFill>
    </fill>
    <fill>
      <patternFill patternType="solid">
        <fgColor rgb="FFFCE4D6"/>
        <bgColor rgb="FFFDECEA"/>
      </patternFill>
    </fill>
    <fill>
      <patternFill patternType="solid">
        <fgColor rgb="FFFDECEA"/>
        <bgColor rgb="FFEDEDED"/>
      </patternFill>
    </fill>
    <fill>
      <patternFill patternType="solid">
        <fgColor rgb="FF1F3864"/>
        <bgColor rgb="FF333333"/>
      </patternFill>
    </fill>
    <fill>
      <patternFill patternType="solid">
        <fgColor rgb="FFD9E1F2"/>
        <bgColor rgb="FFD9D9D9"/>
      </patternFill>
    </fill>
    <fill>
      <patternFill patternType="solid">
        <fgColor rgb="FFFFFFFF"/>
        <bgColor rgb="FFF3F7FC"/>
      </patternFill>
    </fill>
    <fill>
      <patternFill patternType="solid">
        <fgColor rgb="FFF3F7F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5" fontId="7" fillId="7" borderId="1" xfId="0" applyFont="true" applyBorder="true" applyAlignment="true" applyProtection="false">
      <alignment horizontal="center" vertical="center" textRotation="0" wrapText="false" indent="0" shrinkToFit="false"/>
      <protection locked="true" hidden="false"/>
    </xf>
    <xf numFmtId="166" fontId="7" fillId="7"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8" fillId="8" borderId="1" xfId="0" applyFont="true" applyBorder="true" applyAlignment="true" applyProtection="false">
      <alignment horizontal="center" vertical="top" textRotation="0" wrapText="fals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fals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EDEDED"/>
          <bgColor rgb="FF000000"/>
        </patternFill>
      </fill>
    </dxf>
    <dxf>
      <fill>
        <patternFill patternType="solid">
          <fgColor rgb="FFF3F7FC"/>
          <bgColor rgb="FF000000"/>
        </patternFill>
      </fill>
    </dxf>
    <dxf>
      <fill>
        <patternFill patternType="solid">
          <fgColor rgb="FFFFFFFF"/>
          <bgColor rgb="FF000000"/>
        </patternFill>
      </fill>
    </dxf>
    <dxf>
      <fill>
        <patternFill patternType="solid">
          <fgColor rgb="FF595959"/>
          <bgColor rgb="FF000000"/>
        </patternFill>
      </fill>
    </dxf>
    <dxf>
      <fill>
        <patternFill patternType="solid">
          <bgColor rgb="FF000000"/>
        </patternFill>
      </fill>
    </dxf>
    <dxf>
      <fill>
        <patternFill patternType="solid">
          <fgColor rgb="FFFDECEA"/>
          <bgColor rgb="FF000000"/>
        </patternFill>
      </fill>
    </dxf>
    <dxf>
      <fill>
        <patternFill patternType="solid">
          <fgColor rgb="FFFCE4D6"/>
          <bgColor rgb="FF000000"/>
        </patternFill>
      </fill>
    </dxf>
    <dxf>
      <fill>
        <patternFill patternType="solid">
          <fgColor rgb="FF9C0006"/>
          <bgColor rgb="FF000000"/>
        </patternFill>
      </fill>
    </dxf>
    <dxf>
      <fill>
        <patternFill patternType="solid">
          <fgColor rgb="FFFFF9DB"/>
          <bgColor rgb="FF000000"/>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D9E1F2"/>
      <rgbColor rgb="FF808080"/>
      <rgbColor rgb="FF9999FF"/>
      <rgbColor rgb="FF993366"/>
      <rgbColor rgb="FFFFF9DB"/>
      <rgbColor rgb="FFF3F7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C6EFCE"/>
      <rgbColor rgb="FFFFEB9C"/>
      <rgbColor rgb="FFFDECEA"/>
      <rgbColor rgb="FFFCE4D6"/>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 t="s">
        <v>0</v>
      </c>
    </row>
    <row r="2" customFormat="false" ht="30" hidden="false" customHeight="true" outlineLevel="0" collapsed="false">
      <c r="A2" s="2" t="s">
        <v>1</v>
      </c>
      <c r="B2" s="2"/>
    </row>
    <row r="4" customFormat="false" ht="15" hidden="false" customHeight="false" outlineLevel="0" collapsed="false">
      <c r="A4" s="3" t="s">
        <v>2</v>
      </c>
    </row>
    <row r="5" customFormat="false" ht="27.75" hidden="false" customHeight="true" outlineLevel="0" collapsed="false">
      <c r="A5" s="4" t="s">
        <v>3</v>
      </c>
      <c r="B5" s="5" t="s">
        <v>4</v>
      </c>
    </row>
    <row r="6" customFormat="false" ht="15" hidden="false" customHeight="true" outlineLevel="0" collapsed="false">
      <c r="A6" s="4" t="s">
        <v>5</v>
      </c>
      <c r="B6" s="5" t="s">
        <v>6</v>
      </c>
    </row>
    <row r="7" customFormat="false" ht="27.75" hidden="false" customHeight="true" outlineLevel="0" collapsed="false">
      <c r="A7" s="4" t="s">
        <v>7</v>
      </c>
      <c r="B7" s="5" t="s">
        <v>8</v>
      </c>
    </row>
    <row r="8" customFormat="false" ht="15" hidden="false" customHeight="true" outlineLevel="0" collapsed="false">
      <c r="A8" s="4" t="s">
        <v>9</v>
      </c>
      <c r="B8" s="5" t="s">
        <v>10</v>
      </c>
    </row>
    <row r="9" customFormat="false" ht="27.75" hidden="false" customHeight="true" outlineLevel="0" collapsed="false">
      <c r="A9" s="4" t="s">
        <v>11</v>
      </c>
      <c r="B9" s="6" t="s">
        <v>12</v>
      </c>
    </row>
    <row r="11" customFormat="false" ht="15" hidden="false" customHeight="false" outlineLevel="0" collapsed="false">
      <c r="A11" s="3" t="s">
        <v>13</v>
      </c>
    </row>
    <row r="12" customFormat="false" ht="15" hidden="false" customHeight="true" outlineLevel="0" collapsed="false">
      <c r="A12" s="4" t="s">
        <v>14</v>
      </c>
      <c r="B12" s="5" t="s">
        <v>15</v>
      </c>
    </row>
    <row r="13" customFormat="false" ht="15" hidden="false" customHeight="true" outlineLevel="0" collapsed="false">
      <c r="A13" s="4" t="s">
        <v>16</v>
      </c>
      <c r="B13" s="5" t="s">
        <v>17</v>
      </c>
    </row>
    <row r="14" customFormat="false" ht="15" hidden="false" customHeight="true" outlineLevel="0" collapsed="false">
      <c r="A14" s="4" t="s">
        <v>18</v>
      </c>
      <c r="B14" s="6" t="s">
        <v>19</v>
      </c>
    </row>
    <row r="15" customFormat="false" ht="15" hidden="false" customHeight="true" outlineLevel="0" collapsed="false">
      <c r="A15" s="4" t="s">
        <v>20</v>
      </c>
      <c r="B15" s="6" t="s">
        <v>21</v>
      </c>
    </row>
    <row r="16" customFormat="false" ht="15" hidden="false" customHeight="true" outlineLevel="0" collapsed="false">
      <c r="A16" s="4" t="s">
        <v>22</v>
      </c>
      <c r="B16" s="6" t="s">
        <v>23</v>
      </c>
    </row>
    <row r="18" customFormat="false" ht="15" hidden="false" customHeight="false" outlineLevel="0" collapsed="false">
      <c r="A18" s="3" t="s">
        <v>24</v>
      </c>
    </row>
    <row r="19" customFormat="false" ht="27.75" hidden="false" customHeight="true" outlineLevel="0" collapsed="false">
      <c r="A19" s="4" t="s">
        <v>25</v>
      </c>
      <c r="B19" s="5" t="s">
        <v>26</v>
      </c>
    </row>
    <row r="20" customFormat="false" ht="42" hidden="false" customHeight="true" outlineLevel="0" collapsed="false">
      <c r="A20" s="7" t="s">
        <v>27</v>
      </c>
      <c r="B20" s="8" t="s">
        <v>28</v>
      </c>
    </row>
    <row r="21" customFormat="false" ht="27.75" hidden="false" customHeight="true" outlineLevel="0" collapsed="false">
      <c r="A21" s="4" t="s">
        <v>29</v>
      </c>
      <c r="B21" s="5" t="s">
        <v>30</v>
      </c>
    </row>
    <row r="22" customFormat="false" ht="42" hidden="false" customHeight="true" outlineLevel="0" collapsed="false">
      <c r="A22" s="9" t="s">
        <v>31</v>
      </c>
      <c r="B22" s="10" t="s">
        <v>32</v>
      </c>
    </row>
    <row r="23" customFormat="false" ht="42" hidden="false" customHeight="true" outlineLevel="0" collapsed="false">
      <c r="A23" s="11" t="s">
        <v>33</v>
      </c>
      <c r="B23" s="12" t="s">
        <v>34</v>
      </c>
    </row>
    <row r="24" customFormat="false" ht="27.75" hidden="false" customHeight="true" outlineLevel="0" collapsed="false">
      <c r="A24" s="4" t="s">
        <v>35</v>
      </c>
      <c r="B24" s="5" t="s">
        <v>36</v>
      </c>
    </row>
    <row r="25" customFormat="false" ht="27.75" hidden="false" customHeight="true" outlineLevel="0" collapsed="false">
      <c r="A25" s="4" t="s">
        <v>37</v>
      </c>
      <c r="B25" s="5" t="s">
        <v>38</v>
      </c>
    </row>
    <row r="26" customFormat="false" ht="27.75" hidden="false" customHeight="true" outlineLevel="0" collapsed="false">
      <c r="A26" s="4" t="s">
        <v>39</v>
      </c>
      <c r="B26" s="5" t="s">
        <v>40</v>
      </c>
    </row>
    <row r="28" customFormat="false" ht="15" hidden="false" customHeight="false" outlineLevel="0" collapsed="false">
      <c r="A28" s="3" t="s">
        <v>41</v>
      </c>
    </row>
    <row r="29" customFormat="false" ht="27.75" hidden="false" customHeight="true" outlineLevel="0" collapsed="false">
      <c r="A29" s="4" t="s">
        <v>42</v>
      </c>
      <c r="B29" s="5" t="s">
        <v>43</v>
      </c>
    </row>
    <row r="30" customFormat="false" ht="15" hidden="false" customHeight="true" outlineLevel="0" collapsed="false">
      <c r="A30" s="4" t="s">
        <v>44</v>
      </c>
      <c r="B30" s="5" t="s">
        <v>45</v>
      </c>
    </row>
    <row r="32" customFormat="false" ht="15" hidden="false" customHeight="false" outlineLevel="0" collapsed="false">
      <c r="A32" s="3" t="s">
        <v>46</v>
      </c>
    </row>
    <row r="33" customFormat="false" ht="27.75" hidden="false" customHeight="true" outlineLevel="0" collapsed="false">
      <c r="A33" s="4" t="s">
        <v>47</v>
      </c>
      <c r="B33" s="5" t="s">
        <v>48</v>
      </c>
    </row>
    <row r="34" customFormat="false" ht="27.75" hidden="false" customHeight="true" outlineLevel="0" collapsed="false">
      <c r="A34" s="4" t="s">
        <v>49</v>
      </c>
      <c r="B34" s="5" t="s">
        <v>50</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14"/>
    <col collapsed="false" customWidth="true" hidden="false" outlineLevel="0" max="7" min="6" style="0" width="12"/>
  </cols>
  <sheetData>
    <row r="1" customFormat="false" ht="17.35" hidden="false" customHeight="false" outlineLevel="0" collapsed="false">
      <c r="A1" s="13" t="s">
        <v>51</v>
      </c>
    </row>
    <row r="2" customFormat="false" ht="15" hidden="false" customHeight="false" outlineLevel="0" collapsed="false">
      <c r="A2" s="14" t="s">
        <v>52</v>
      </c>
    </row>
    <row r="4" customFormat="false" ht="31.5" hidden="false" customHeight="true" outlineLevel="0" collapsed="false">
      <c r="A4" s="15" t="s">
        <v>53</v>
      </c>
      <c r="B4" s="16" t="s">
        <v>54</v>
      </c>
      <c r="C4" s="16" t="s">
        <v>55</v>
      </c>
      <c r="D4" s="16" t="s">
        <v>56</v>
      </c>
      <c r="E4" s="16" t="s">
        <v>57</v>
      </c>
      <c r="F4" s="16" t="s">
        <v>58</v>
      </c>
      <c r="G4" s="16" t="s">
        <v>59</v>
      </c>
    </row>
    <row r="5" customFormat="false" ht="15" hidden="false" customHeight="false" outlineLevel="0" collapsed="false">
      <c r="A5" s="17" t="s">
        <v>60</v>
      </c>
      <c r="B5" s="18" t="n">
        <f aca="false">COUNTIFS(Translations!$B$5:$B$487,$A5,Translations!$A$5:$A$487,"&gt;0")</f>
        <v>44</v>
      </c>
      <c r="C5" s="18" t="n">
        <f aca="false">D5+E5+F5</f>
        <v>0</v>
      </c>
      <c r="D5" s="18" t="n">
        <f aca="false">COUNTIFS(Translations!$B$5:$B$487,$A5,Translations!$A$5:$A$487,"&gt;0",Translations!$I$5:$I$487,"OK")</f>
        <v>0</v>
      </c>
      <c r="E5" s="18" t="n">
        <f aca="false">COUNTIFS(Translations!$B$5:$B$487,$A5,Translations!$A$5:$A$487,"&gt;0",Translations!$I$5:$I$487,"Change needed")</f>
        <v>0</v>
      </c>
      <c r="F5" s="18" t="n">
        <f aca="false">COUNTIFS(Translations!$B$5:$B$487,$A5,Translations!$A$5:$A$487,"&gt;0",Translations!$I$5:$I$487,"Question")</f>
        <v>0</v>
      </c>
      <c r="G5" s="19" t="n">
        <f aca="false">IF($B5=0,0,C5/$B5)</f>
        <v>0</v>
      </c>
    </row>
    <row r="6" customFormat="false" ht="15" hidden="false" customHeight="false" outlineLevel="0" collapsed="false">
      <c r="A6" s="17" t="s">
        <v>61</v>
      </c>
      <c r="B6" s="18" t="n">
        <f aca="false">COUNTIFS(Translations!$B$5:$B$487,$A6,Translations!$A$5:$A$487,"&gt;0")</f>
        <v>13</v>
      </c>
      <c r="C6" s="18" t="n">
        <f aca="false">D6+E6+F6</f>
        <v>0</v>
      </c>
      <c r="D6" s="18" t="n">
        <f aca="false">COUNTIFS(Translations!$B$5:$B$487,$A6,Translations!$A$5:$A$487,"&gt;0",Translations!$I$5:$I$487,"OK")</f>
        <v>0</v>
      </c>
      <c r="E6" s="18" t="n">
        <f aca="false">COUNTIFS(Translations!$B$5:$B$487,$A6,Translations!$A$5:$A$487,"&gt;0",Translations!$I$5:$I$487,"Change needed")</f>
        <v>0</v>
      </c>
      <c r="F6" s="18" t="n">
        <f aca="false">COUNTIFS(Translations!$B$5:$B$487,$A6,Translations!$A$5:$A$487,"&gt;0",Translations!$I$5:$I$487,"Question")</f>
        <v>0</v>
      </c>
      <c r="G6" s="19" t="n">
        <f aca="false">IF($B6=0,0,C6/$B6)</f>
        <v>0</v>
      </c>
    </row>
    <row r="7" customFormat="false" ht="15" hidden="false" customHeight="false" outlineLevel="0" collapsed="false">
      <c r="A7" s="17" t="s">
        <v>62</v>
      </c>
      <c r="B7" s="18" t="n">
        <f aca="false">COUNTIFS(Translations!$B$5:$B$487,$A7,Translations!$A$5:$A$487,"&gt;0")</f>
        <v>8</v>
      </c>
      <c r="C7" s="18" t="n">
        <f aca="false">D7+E7+F7</f>
        <v>0</v>
      </c>
      <c r="D7" s="18" t="n">
        <f aca="false">COUNTIFS(Translations!$B$5:$B$487,$A7,Translations!$A$5:$A$487,"&gt;0",Translations!$I$5:$I$487,"OK")</f>
        <v>0</v>
      </c>
      <c r="E7" s="18" t="n">
        <f aca="false">COUNTIFS(Translations!$B$5:$B$487,$A7,Translations!$A$5:$A$487,"&gt;0",Translations!$I$5:$I$487,"Change needed")</f>
        <v>0</v>
      </c>
      <c r="F7" s="18" t="n">
        <f aca="false">COUNTIFS(Translations!$B$5:$B$487,$A7,Translations!$A$5:$A$487,"&gt;0",Translations!$I$5:$I$487,"Question")</f>
        <v>0</v>
      </c>
      <c r="G7" s="19" t="n">
        <f aca="false">IF($B7=0,0,C7/$B7)</f>
        <v>0</v>
      </c>
    </row>
    <row r="8" customFormat="false" ht="15" hidden="false" customHeight="false" outlineLevel="0" collapsed="false">
      <c r="A8" s="17" t="s">
        <v>63</v>
      </c>
      <c r="B8" s="18" t="n">
        <f aca="false">COUNTIFS(Translations!$B$5:$B$487,$A8,Translations!$A$5:$A$487,"&gt;0")</f>
        <v>28</v>
      </c>
      <c r="C8" s="18" t="n">
        <f aca="false">D8+E8+F8</f>
        <v>0</v>
      </c>
      <c r="D8" s="18" t="n">
        <f aca="false">COUNTIFS(Translations!$B$5:$B$487,$A8,Translations!$A$5:$A$487,"&gt;0",Translations!$I$5:$I$487,"OK")</f>
        <v>0</v>
      </c>
      <c r="E8" s="18" t="n">
        <f aca="false">COUNTIFS(Translations!$B$5:$B$487,$A8,Translations!$A$5:$A$487,"&gt;0",Translations!$I$5:$I$487,"Change needed")</f>
        <v>0</v>
      </c>
      <c r="F8" s="18" t="n">
        <f aca="false">COUNTIFS(Translations!$B$5:$B$487,$A8,Translations!$A$5:$A$487,"&gt;0",Translations!$I$5:$I$487,"Question")</f>
        <v>0</v>
      </c>
      <c r="G8" s="19" t="n">
        <f aca="false">IF($B8=0,0,C8/$B8)</f>
        <v>0</v>
      </c>
    </row>
    <row r="9" customFormat="false" ht="15" hidden="false" customHeight="false" outlineLevel="0" collapsed="false">
      <c r="A9" s="17" t="s">
        <v>64</v>
      </c>
      <c r="B9" s="18" t="n">
        <f aca="false">COUNTIFS(Translations!$B$5:$B$487,$A9,Translations!$A$5:$A$487,"&gt;0")</f>
        <v>7</v>
      </c>
      <c r="C9" s="18" t="n">
        <f aca="false">D9+E9+F9</f>
        <v>0</v>
      </c>
      <c r="D9" s="18" t="n">
        <f aca="false">COUNTIFS(Translations!$B$5:$B$487,$A9,Translations!$A$5:$A$487,"&gt;0",Translations!$I$5:$I$487,"OK")</f>
        <v>0</v>
      </c>
      <c r="E9" s="18" t="n">
        <f aca="false">COUNTIFS(Translations!$B$5:$B$487,$A9,Translations!$A$5:$A$487,"&gt;0",Translations!$I$5:$I$487,"Change needed")</f>
        <v>0</v>
      </c>
      <c r="F9" s="18" t="n">
        <f aca="false">COUNTIFS(Translations!$B$5:$B$487,$A9,Translations!$A$5:$A$487,"&gt;0",Translations!$I$5:$I$487,"Question")</f>
        <v>0</v>
      </c>
      <c r="G9" s="19" t="n">
        <f aca="false">IF($B9=0,0,C9/$B9)</f>
        <v>0</v>
      </c>
    </row>
    <row r="10" customFormat="false" ht="15" hidden="false" customHeight="false" outlineLevel="0" collapsed="false">
      <c r="A10" s="17" t="s">
        <v>65</v>
      </c>
      <c r="B10" s="18" t="n">
        <f aca="false">COUNTIFS(Translations!$B$5:$B$487,$A10,Translations!$A$5:$A$487,"&gt;0")</f>
        <v>114</v>
      </c>
      <c r="C10" s="18" t="n">
        <f aca="false">D10+E10+F10</f>
        <v>0</v>
      </c>
      <c r="D10" s="18" t="n">
        <f aca="false">COUNTIFS(Translations!$B$5:$B$487,$A10,Translations!$A$5:$A$487,"&gt;0",Translations!$I$5:$I$487,"OK")</f>
        <v>0</v>
      </c>
      <c r="E10" s="18" t="n">
        <f aca="false">COUNTIFS(Translations!$B$5:$B$487,$A10,Translations!$A$5:$A$487,"&gt;0",Translations!$I$5:$I$487,"Change needed")</f>
        <v>0</v>
      </c>
      <c r="F10" s="18" t="n">
        <f aca="false">COUNTIFS(Translations!$B$5:$B$487,$A10,Translations!$A$5:$A$487,"&gt;0",Translations!$I$5:$I$487,"Question")</f>
        <v>0</v>
      </c>
      <c r="G10" s="19" t="n">
        <f aca="false">IF($B10=0,0,C10/$B10)</f>
        <v>0</v>
      </c>
    </row>
    <row r="11" customFormat="false" ht="15" hidden="false" customHeight="false" outlineLevel="0" collapsed="false">
      <c r="A11" s="17" t="s">
        <v>66</v>
      </c>
      <c r="B11" s="18" t="n">
        <f aca="false">COUNTIFS(Translations!$B$5:$B$487,$A11,Translations!$A$5:$A$487,"&gt;0")</f>
        <v>9</v>
      </c>
      <c r="C11" s="18" t="n">
        <f aca="false">D11+E11+F11</f>
        <v>0</v>
      </c>
      <c r="D11" s="18" t="n">
        <f aca="false">COUNTIFS(Translations!$B$5:$B$487,$A11,Translations!$A$5:$A$487,"&gt;0",Translations!$I$5:$I$487,"OK")</f>
        <v>0</v>
      </c>
      <c r="E11" s="18" t="n">
        <f aca="false">COUNTIFS(Translations!$B$5:$B$487,$A11,Translations!$A$5:$A$487,"&gt;0",Translations!$I$5:$I$487,"Change needed")</f>
        <v>0</v>
      </c>
      <c r="F11" s="18" t="n">
        <f aca="false">COUNTIFS(Translations!$B$5:$B$487,$A11,Translations!$A$5:$A$487,"&gt;0",Translations!$I$5:$I$487,"Question")</f>
        <v>0</v>
      </c>
      <c r="G11" s="19" t="n">
        <f aca="false">IF($B11=0,0,C11/$B11)</f>
        <v>0</v>
      </c>
    </row>
    <row r="12" customFormat="false" ht="15" hidden="false" customHeight="false" outlineLevel="0" collapsed="false">
      <c r="A12" s="17" t="s">
        <v>67</v>
      </c>
      <c r="B12" s="18" t="n">
        <f aca="false">COUNTIFS(Translations!$B$5:$B$487,$A12,Translations!$A$5:$A$487,"&gt;0")</f>
        <v>203</v>
      </c>
      <c r="C12" s="18" t="n">
        <f aca="false">D12+E12+F12</f>
        <v>0</v>
      </c>
      <c r="D12" s="18" t="n">
        <f aca="false">COUNTIFS(Translations!$B$5:$B$487,$A12,Translations!$A$5:$A$487,"&gt;0",Translations!$I$5:$I$487,"OK")</f>
        <v>0</v>
      </c>
      <c r="E12" s="18" t="n">
        <f aca="false">COUNTIFS(Translations!$B$5:$B$487,$A12,Translations!$A$5:$A$487,"&gt;0",Translations!$I$5:$I$487,"Change needed")</f>
        <v>0</v>
      </c>
      <c r="F12" s="18" t="n">
        <f aca="false">COUNTIFS(Translations!$B$5:$B$487,$A12,Translations!$A$5:$A$487,"&gt;0",Translations!$I$5:$I$487,"Question")</f>
        <v>0</v>
      </c>
      <c r="G12" s="19" t="n">
        <f aca="false">IF($B12=0,0,C12/$B12)</f>
        <v>0</v>
      </c>
    </row>
    <row r="13" customFormat="false" ht="15" hidden="false" customHeight="false" outlineLevel="0" collapsed="false">
      <c r="A13" s="17" t="s">
        <v>68</v>
      </c>
      <c r="B13" s="18" t="n">
        <f aca="false">COUNTIFS(Translations!$B$5:$B$487,$A13,Translations!$A$5:$A$487,"&gt;0")</f>
        <v>37</v>
      </c>
      <c r="C13" s="18" t="n">
        <f aca="false">D13+E13+F13</f>
        <v>0</v>
      </c>
      <c r="D13" s="18" t="n">
        <f aca="false">COUNTIFS(Translations!$B$5:$B$487,$A13,Translations!$A$5:$A$487,"&gt;0",Translations!$I$5:$I$487,"OK")</f>
        <v>0</v>
      </c>
      <c r="E13" s="18" t="n">
        <f aca="false">COUNTIFS(Translations!$B$5:$B$487,$A13,Translations!$A$5:$A$487,"&gt;0",Translations!$I$5:$I$487,"Change needed")</f>
        <v>0</v>
      </c>
      <c r="F13" s="18" t="n">
        <f aca="false">COUNTIFS(Translations!$B$5:$B$487,$A13,Translations!$A$5:$A$487,"&gt;0",Translations!$I$5:$I$487,"Question")</f>
        <v>0</v>
      </c>
      <c r="G13" s="19" t="n">
        <f aca="false">IF($B13=0,0,C13/$B13)</f>
        <v>0</v>
      </c>
    </row>
    <row r="14" customFormat="false" ht="15" hidden="false" customHeight="false" outlineLevel="0" collapsed="false">
      <c r="A14" s="20" t="s">
        <v>69</v>
      </c>
      <c r="B14" s="21" t="n">
        <f aca="false">SUM(B5:B13)</f>
        <v>463</v>
      </c>
      <c r="C14" s="21" t="n">
        <f aca="false">SUM(C5:C13)</f>
        <v>0</v>
      </c>
      <c r="D14" s="21" t="n">
        <f aca="false">SUM(D5:D13)</f>
        <v>0</v>
      </c>
      <c r="E14" s="21" t="n">
        <f aca="false">SUM(E5:E13)</f>
        <v>0</v>
      </c>
      <c r="F14" s="21" t="n">
        <f aca="false">SUM(F5:F13)</f>
        <v>0</v>
      </c>
      <c r="G14" s="22" t="n">
        <f aca="false">IF($B14=0,0,C14/$B14)</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18"/>
    <col collapsed="false" customWidth="true" hidden="false" outlineLevel="0" max="4" min="4" style="0" width="24"/>
    <col collapsed="false" customWidth="true" hidden="false" outlineLevel="0" max="5" min="5" style="0" width="20"/>
    <col collapsed="false" customWidth="true" hidden="false" outlineLevel="0" max="6" min="6" style="0" width="48"/>
    <col collapsed="false" customWidth="true" hidden="false" outlineLevel="0" max="7" min="7" style="0" width="46"/>
    <col collapsed="false" customWidth="true" hidden="false" outlineLevel="0" max="8" min="8" style="0" width="36"/>
    <col collapsed="false" customWidth="true" hidden="false" outlineLevel="0" max="9" min="9" style="0" width="15"/>
    <col collapsed="false" customWidth="true" hidden="false" outlineLevel="0" max="10" min="10" style="0" width="44"/>
    <col collapsed="false" customWidth="true" hidden="false" outlineLevel="0" max="11" min="11" style="0" width="32"/>
  </cols>
  <sheetData>
    <row r="1" customFormat="false" ht="17.35" hidden="false" customHeight="false" outlineLevel="0" collapsed="false">
      <c r="A1" s="13" t="s">
        <v>70</v>
      </c>
    </row>
    <row r="2" customFormat="false" ht="15" hidden="false" customHeight="false" outlineLevel="0" collapsed="false">
      <c r="A2" s="14" t="s">
        <v>71</v>
      </c>
    </row>
    <row r="4" customFormat="false" ht="30" hidden="false" customHeight="true" outlineLevel="0" collapsed="false">
      <c r="A4" s="23" t="s">
        <v>72</v>
      </c>
      <c r="B4" s="23" t="s">
        <v>53</v>
      </c>
      <c r="C4" s="23" t="s">
        <v>73</v>
      </c>
      <c r="D4" s="23" t="s">
        <v>74</v>
      </c>
      <c r="E4" s="23" t="s">
        <v>35</v>
      </c>
      <c r="F4" s="23" t="s">
        <v>75</v>
      </c>
      <c r="G4" s="23" t="s">
        <v>16</v>
      </c>
      <c r="H4" s="23" t="s">
        <v>76</v>
      </c>
      <c r="I4" s="23" t="s">
        <v>18</v>
      </c>
      <c r="J4" s="23" t="s">
        <v>20</v>
      </c>
      <c r="K4" s="23" t="s">
        <v>22</v>
      </c>
    </row>
    <row r="5" customFormat="false" ht="27" hidden="false" customHeight="true" outlineLevel="0" collapsed="false">
      <c r="A5" s="24" t="n">
        <v>1</v>
      </c>
      <c r="B5" s="25" t="s">
        <v>60</v>
      </c>
      <c r="C5" s="25" t="s">
        <v>77</v>
      </c>
      <c r="D5" s="25" t="s">
        <v>78</v>
      </c>
      <c r="E5" s="25"/>
      <c r="F5" s="25" t="s">
        <v>79</v>
      </c>
      <c r="G5" s="25" t="s">
        <v>80</v>
      </c>
      <c r="H5" s="25"/>
      <c r="I5" s="26"/>
      <c r="J5" s="26"/>
      <c r="K5" s="26"/>
    </row>
    <row r="6" customFormat="false" ht="54" hidden="false" customHeight="true" outlineLevel="0" collapsed="false">
      <c r="A6" s="24" t="n">
        <v>2</v>
      </c>
      <c r="B6" s="25" t="s">
        <v>60</v>
      </c>
      <c r="C6" s="25" t="s">
        <v>77</v>
      </c>
      <c r="D6" s="25" t="s">
        <v>81</v>
      </c>
      <c r="E6" s="25"/>
      <c r="F6" s="25" t="s">
        <v>82</v>
      </c>
      <c r="G6" s="25" t="s">
        <v>83</v>
      </c>
      <c r="H6" s="25" t="s">
        <v>84</v>
      </c>
      <c r="I6" s="26"/>
      <c r="J6" s="26"/>
      <c r="K6" s="26"/>
    </row>
    <row r="7" customFormat="false" ht="27" hidden="false" customHeight="true" outlineLevel="0" collapsed="false">
      <c r="A7" s="24" t="n">
        <v>3</v>
      </c>
      <c r="B7" s="25" t="s">
        <v>60</v>
      </c>
      <c r="C7" s="25" t="s">
        <v>77</v>
      </c>
      <c r="D7" s="25" t="s">
        <v>85</v>
      </c>
      <c r="E7" s="25"/>
      <c r="F7" s="25" t="s">
        <v>86</v>
      </c>
      <c r="G7" s="25" t="s">
        <v>87</v>
      </c>
      <c r="H7" s="25" t="s">
        <v>88</v>
      </c>
      <c r="I7" s="26"/>
      <c r="J7" s="26"/>
      <c r="K7" s="26"/>
    </row>
    <row r="8" customFormat="false" ht="27" hidden="false" customHeight="true" outlineLevel="0" collapsed="false">
      <c r="A8" s="24" t="n">
        <v>4</v>
      </c>
      <c r="B8" s="25" t="s">
        <v>60</v>
      </c>
      <c r="C8" s="25" t="s">
        <v>77</v>
      </c>
      <c r="D8" s="25" t="s">
        <v>89</v>
      </c>
      <c r="E8" s="25"/>
      <c r="F8" s="25" t="s">
        <v>90</v>
      </c>
      <c r="G8" s="25" t="s">
        <v>91</v>
      </c>
      <c r="H8" s="25" t="s">
        <v>92</v>
      </c>
      <c r="I8" s="26"/>
      <c r="J8" s="26"/>
      <c r="K8" s="26"/>
    </row>
    <row r="9" customFormat="false" ht="27" hidden="false" customHeight="true" outlineLevel="0" collapsed="false">
      <c r="A9" s="24" t="n">
        <v>5</v>
      </c>
      <c r="B9" s="25" t="s">
        <v>60</v>
      </c>
      <c r="C9" s="25" t="s">
        <v>93</v>
      </c>
      <c r="D9" s="25" t="s">
        <v>94</v>
      </c>
      <c r="E9" s="25"/>
      <c r="F9" s="25" t="s">
        <v>95</v>
      </c>
      <c r="G9" s="25" t="s">
        <v>96</v>
      </c>
      <c r="H9" s="25"/>
      <c r="I9" s="26"/>
      <c r="J9" s="26"/>
      <c r="K9" s="26"/>
    </row>
    <row r="10" customFormat="false" ht="54" hidden="false" customHeight="true" outlineLevel="0" collapsed="false">
      <c r="A10" s="27" t="s">
        <v>97</v>
      </c>
      <c r="B10" s="28" t="s">
        <v>60</v>
      </c>
      <c r="C10" s="28" t="s">
        <v>93</v>
      </c>
      <c r="D10" s="28" t="s">
        <v>98</v>
      </c>
      <c r="E10" s="28"/>
      <c r="F10" s="28" t="s">
        <v>99</v>
      </c>
      <c r="G10" s="28" t="s">
        <v>100</v>
      </c>
      <c r="H10" s="28" t="s">
        <v>101</v>
      </c>
      <c r="I10" s="28"/>
      <c r="J10" s="28"/>
      <c r="K10" s="26"/>
    </row>
    <row r="11" customFormat="false" ht="27" hidden="false" customHeight="true" outlineLevel="0" collapsed="false">
      <c r="A11" s="24" t="n">
        <v>6</v>
      </c>
      <c r="B11" s="25" t="s">
        <v>60</v>
      </c>
      <c r="C11" s="25" t="s">
        <v>93</v>
      </c>
      <c r="D11" s="25" t="s">
        <v>102</v>
      </c>
      <c r="E11" s="25"/>
      <c r="F11" s="25" t="s">
        <v>103</v>
      </c>
      <c r="G11" s="25" t="s">
        <v>104</v>
      </c>
      <c r="H11" s="25" t="s">
        <v>105</v>
      </c>
      <c r="I11" s="26"/>
      <c r="J11" s="26"/>
      <c r="K11" s="26"/>
    </row>
    <row r="12" customFormat="false" ht="27" hidden="false" customHeight="true" outlineLevel="0" collapsed="false">
      <c r="A12" s="24" t="n">
        <v>7</v>
      </c>
      <c r="B12" s="25" t="s">
        <v>60</v>
      </c>
      <c r="C12" s="25" t="s">
        <v>93</v>
      </c>
      <c r="D12" s="25" t="s">
        <v>106</v>
      </c>
      <c r="E12" s="25"/>
      <c r="F12" s="25" t="s">
        <v>107</v>
      </c>
      <c r="G12" s="25" t="s">
        <v>108</v>
      </c>
      <c r="H12" s="25" t="s">
        <v>109</v>
      </c>
      <c r="I12" s="26"/>
      <c r="J12" s="26"/>
      <c r="K12" s="26"/>
    </row>
    <row r="13" customFormat="false" ht="27" hidden="false" customHeight="true" outlineLevel="0" collapsed="false">
      <c r="A13" s="24" t="n">
        <v>8</v>
      </c>
      <c r="B13" s="25" t="s">
        <v>60</v>
      </c>
      <c r="C13" s="25" t="s">
        <v>93</v>
      </c>
      <c r="D13" s="25" t="s">
        <v>110</v>
      </c>
      <c r="E13" s="25"/>
      <c r="F13" s="25" t="s">
        <v>111</v>
      </c>
      <c r="G13" s="25" t="s">
        <v>112</v>
      </c>
      <c r="H13" s="25" t="s">
        <v>105</v>
      </c>
      <c r="I13" s="26"/>
      <c r="J13" s="26"/>
      <c r="K13" s="26"/>
    </row>
    <row r="14" customFormat="false" ht="27" hidden="false" customHeight="true" outlineLevel="0" collapsed="false">
      <c r="A14" s="24" t="n">
        <v>9</v>
      </c>
      <c r="B14" s="25" t="s">
        <v>60</v>
      </c>
      <c r="C14" s="25" t="s">
        <v>93</v>
      </c>
      <c r="D14" s="25" t="s">
        <v>113</v>
      </c>
      <c r="E14" s="25"/>
      <c r="F14" s="25" t="s">
        <v>114</v>
      </c>
      <c r="G14" s="25" t="s">
        <v>115</v>
      </c>
      <c r="H14" s="25" t="s">
        <v>109</v>
      </c>
      <c r="I14" s="26"/>
      <c r="J14" s="26"/>
      <c r="K14" s="26"/>
    </row>
    <row r="15" customFormat="false" ht="27" hidden="false" customHeight="true" outlineLevel="0" collapsed="false">
      <c r="A15" s="24" t="n">
        <v>10</v>
      </c>
      <c r="B15" s="25" t="s">
        <v>60</v>
      </c>
      <c r="C15" s="25" t="s">
        <v>93</v>
      </c>
      <c r="D15" s="25" t="s">
        <v>116</v>
      </c>
      <c r="E15" s="25"/>
      <c r="F15" s="25" t="s">
        <v>117</v>
      </c>
      <c r="G15" s="25" t="s">
        <v>118</v>
      </c>
      <c r="H15" s="25" t="s">
        <v>119</v>
      </c>
      <c r="I15" s="26"/>
      <c r="J15" s="26"/>
      <c r="K15" s="26"/>
    </row>
    <row r="16" customFormat="false" ht="27" hidden="false" customHeight="true" outlineLevel="0" collapsed="false">
      <c r="A16" s="24" t="n">
        <v>11</v>
      </c>
      <c r="B16" s="25" t="s">
        <v>60</v>
      </c>
      <c r="C16" s="25" t="s">
        <v>93</v>
      </c>
      <c r="D16" s="25" t="s">
        <v>120</v>
      </c>
      <c r="E16" s="25"/>
      <c r="F16" s="25" t="s">
        <v>121</v>
      </c>
      <c r="G16" s="25" t="s">
        <v>122</v>
      </c>
      <c r="H16" s="25"/>
      <c r="I16" s="26"/>
      <c r="J16" s="26"/>
      <c r="K16" s="26"/>
    </row>
    <row r="17" customFormat="false" ht="27" hidden="false" customHeight="true" outlineLevel="0" collapsed="false">
      <c r="A17" s="24" t="n">
        <v>12</v>
      </c>
      <c r="B17" s="25" t="s">
        <v>60</v>
      </c>
      <c r="C17" s="25" t="s">
        <v>123</v>
      </c>
      <c r="D17" s="25" t="s">
        <v>124</v>
      </c>
      <c r="E17" s="25"/>
      <c r="F17" s="25" t="s">
        <v>125</v>
      </c>
      <c r="G17" s="25" t="s">
        <v>126</v>
      </c>
      <c r="H17" s="25" t="s">
        <v>127</v>
      </c>
      <c r="I17" s="26"/>
      <c r="J17" s="26"/>
      <c r="K17" s="26"/>
    </row>
    <row r="18" customFormat="false" ht="67.5" hidden="false" customHeight="true" outlineLevel="0" collapsed="false">
      <c r="A18" s="24" t="n">
        <v>13</v>
      </c>
      <c r="B18" s="25" t="s">
        <v>60</v>
      </c>
      <c r="C18" s="25" t="s">
        <v>123</v>
      </c>
      <c r="D18" s="25" t="s">
        <v>128</v>
      </c>
      <c r="E18" s="25"/>
      <c r="F18" s="25" t="s">
        <v>14</v>
      </c>
      <c r="G18" s="25" t="s">
        <v>129</v>
      </c>
      <c r="H18" s="25" t="s">
        <v>130</v>
      </c>
      <c r="I18" s="26"/>
      <c r="J18" s="26"/>
      <c r="K18" s="26"/>
    </row>
    <row r="19" customFormat="false" ht="27" hidden="false" customHeight="true" outlineLevel="0" collapsed="false">
      <c r="A19" s="24" t="n">
        <v>14</v>
      </c>
      <c r="B19" s="25" t="s">
        <v>60</v>
      </c>
      <c r="C19" s="25" t="s">
        <v>131</v>
      </c>
      <c r="D19" s="25" t="s">
        <v>132</v>
      </c>
      <c r="E19" s="25"/>
      <c r="F19" s="25" t="s">
        <v>133</v>
      </c>
      <c r="G19" s="25" t="s">
        <v>134</v>
      </c>
      <c r="H19" s="25"/>
      <c r="I19" s="26"/>
      <c r="J19" s="26"/>
      <c r="K19" s="26"/>
    </row>
    <row r="20" customFormat="false" ht="27" hidden="false" customHeight="true" outlineLevel="0" collapsed="false">
      <c r="A20" s="24" t="n">
        <v>15</v>
      </c>
      <c r="B20" s="25" t="s">
        <v>60</v>
      </c>
      <c r="C20" s="25" t="s">
        <v>131</v>
      </c>
      <c r="D20" s="25" t="s">
        <v>135</v>
      </c>
      <c r="E20" s="25"/>
      <c r="F20" s="25" t="s">
        <v>136</v>
      </c>
      <c r="G20" s="25" t="s">
        <v>137</v>
      </c>
      <c r="H20" s="25" t="s">
        <v>127</v>
      </c>
      <c r="I20" s="26"/>
      <c r="J20" s="26"/>
      <c r="K20" s="26"/>
    </row>
    <row r="21" customFormat="false" ht="27" hidden="false" customHeight="true" outlineLevel="0" collapsed="false">
      <c r="A21" s="24" t="n">
        <v>16</v>
      </c>
      <c r="B21" s="25" t="s">
        <v>60</v>
      </c>
      <c r="C21" s="25" t="s">
        <v>131</v>
      </c>
      <c r="D21" s="25" t="s">
        <v>138</v>
      </c>
      <c r="E21" s="25"/>
      <c r="F21" s="25" t="s">
        <v>139</v>
      </c>
      <c r="G21" s="25" t="s">
        <v>140</v>
      </c>
      <c r="H21" s="25" t="s">
        <v>141</v>
      </c>
      <c r="I21" s="26"/>
      <c r="J21" s="26"/>
      <c r="K21" s="26"/>
    </row>
    <row r="22" customFormat="false" ht="27" hidden="false" customHeight="true" outlineLevel="0" collapsed="false">
      <c r="A22" s="24" t="n">
        <v>17</v>
      </c>
      <c r="B22" s="25" t="s">
        <v>60</v>
      </c>
      <c r="C22" s="25" t="s">
        <v>131</v>
      </c>
      <c r="D22" s="25" t="s">
        <v>142</v>
      </c>
      <c r="E22" s="25"/>
      <c r="F22" s="25" t="s">
        <v>143</v>
      </c>
      <c r="G22" s="25" t="s">
        <v>144</v>
      </c>
      <c r="H22" s="25" t="s">
        <v>127</v>
      </c>
      <c r="I22" s="26"/>
      <c r="J22" s="26"/>
      <c r="K22" s="26"/>
    </row>
    <row r="23" customFormat="false" ht="27" hidden="false" customHeight="true" outlineLevel="0" collapsed="false">
      <c r="A23" s="24" t="n">
        <v>18</v>
      </c>
      <c r="B23" s="25" t="s">
        <v>60</v>
      </c>
      <c r="C23" s="25" t="s">
        <v>145</v>
      </c>
      <c r="D23" s="25" t="s">
        <v>146</v>
      </c>
      <c r="E23" s="25"/>
      <c r="F23" s="25" t="s">
        <v>147</v>
      </c>
      <c r="G23" s="25" t="s">
        <v>148</v>
      </c>
      <c r="H23" s="25"/>
      <c r="I23" s="26"/>
      <c r="J23" s="26"/>
      <c r="K23" s="26"/>
    </row>
    <row r="24" customFormat="false" ht="54" hidden="false" customHeight="true" outlineLevel="0" collapsed="false">
      <c r="A24" s="24" t="n">
        <v>19</v>
      </c>
      <c r="B24" s="25" t="s">
        <v>60</v>
      </c>
      <c r="C24" s="25" t="s">
        <v>145</v>
      </c>
      <c r="D24" s="25" t="s">
        <v>149</v>
      </c>
      <c r="E24" s="25"/>
      <c r="F24" s="25" t="s">
        <v>150</v>
      </c>
      <c r="G24" s="25" t="s">
        <v>151</v>
      </c>
      <c r="H24" s="25"/>
      <c r="I24" s="26"/>
      <c r="J24" s="26"/>
      <c r="K24" s="26"/>
    </row>
    <row r="25" customFormat="false" ht="40.5" hidden="false" customHeight="true" outlineLevel="0" collapsed="false">
      <c r="A25" s="24" t="n">
        <v>20</v>
      </c>
      <c r="B25" s="25" t="s">
        <v>60</v>
      </c>
      <c r="C25" s="25" t="s">
        <v>145</v>
      </c>
      <c r="D25" s="25" t="s">
        <v>152</v>
      </c>
      <c r="E25" s="25"/>
      <c r="F25" s="25" t="s">
        <v>153</v>
      </c>
      <c r="G25" s="25" t="s">
        <v>154</v>
      </c>
      <c r="H25" s="25" t="s">
        <v>155</v>
      </c>
      <c r="I25" s="26"/>
      <c r="J25" s="26"/>
      <c r="K25" s="26"/>
    </row>
    <row r="26" customFormat="false" ht="81" hidden="false" customHeight="true" outlineLevel="0" collapsed="false">
      <c r="A26" s="24" t="n">
        <v>21</v>
      </c>
      <c r="B26" s="25" t="s">
        <v>60</v>
      </c>
      <c r="C26" s="25" t="s">
        <v>156</v>
      </c>
      <c r="D26" s="25" t="s">
        <v>157</v>
      </c>
      <c r="E26" s="25"/>
      <c r="F26" s="25" t="s">
        <v>158</v>
      </c>
      <c r="G26" s="25" t="s">
        <v>159</v>
      </c>
      <c r="H26" s="25" t="s">
        <v>160</v>
      </c>
      <c r="I26" s="26"/>
      <c r="J26" s="26"/>
      <c r="K26" s="26"/>
    </row>
    <row r="27" customFormat="false" ht="135" hidden="false" customHeight="true" outlineLevel="0" collapsed="false">
      <c r="A27" s="27" t="s">
        <v>161</v>
      </c>
      <c r="B27" s="28" t="s">
        <v>60</v>
      </c>
      <c r="C27" s="28" t="s">
        <v>156</v>
      </c>
      <c r="D27" s="28" t="s">
        <v>162</v>
      </c>
      <c r="E27" s="28"/>
      <c r="F27" s="28" t="s">
        <v>163</v>
      </c>
      <c r="G27" s="28" t="s">
        <v>164</v>
      </c>
      <c r="H27" s="29" t="s">
        <v>165</v>
      </c>
      <c r="I27" s="28"/>
      <c r="J27" s="28"/>
      <c r="K27" s="26"/>
    </row>
    <row r="28" customFormat="false" ht="108" hidden="false" customHeight="true" outlineLevel="0" collapsed="false">
      <c r="A28" s="24" t="n">
        <v>22</v>
      </c>
      <c r="B28" s="25" t="s">
        <v>60</v>
      </c>
      <c r="C28" s="25" t="s">
        <v>156</v>
      </c>
      <c r="D28" s="25" t="s">
        <v>166</v>
      </c>
      <c r="E28" s="25"/>
      <c r="F28" s="30" t="s">
        <v>167</v>
      </c>
      <c r="G28" s="30" t="s">
        <v>168</v>
      </c>
      <c r="H28" s="31" t="s">
        <v>169</v>
      </c>
      <c r="I28" s="26"/>
      <c r="J28" s="26"/>
      <c r="K28" s="26"/>
    </row>
    <row r="29" customFormat="false" ht="54" hidden="false" customHeight="true" outlineLevel="0" collapsed="false">
      <c r="A29" s="24" t="n">
        <v>23</v>
      </c>
      <c r="B29" s="25" t="s">
        <v>60</v>
      </c>
      <c r="C29" s="25" t="s">
        <v>156</v>
      </c>
      <c r="D29" s="25" t="s">
        <v>170</v>
      </c>
      <c r="E29" s="25"/>
      <c r="F29" s="30" t="s">
        <v>171</v>
      </c>
      <c r="G29" s="30" t="s">
        <v>172</v>
      </c>
      <c r="H29" s="31" t="s">
        <v>173</v>
      </c>
      <c r="I29" s="26"/>
      <c r="J29" s="26"/>
      <c r="K29" s="26"/>
    </row>
    <row r="30" customFormat="false" ht="40.5" hidden="false" customHeight="true" outlineLevel="0" collapsed="false">
      <c r="A30" s="24" t="n">
        <v>24</v>
      </c>
      <c r="B30" s="25" t="s">
        <v>60</v>
      </c>
      <c r="C30" s="25" t="s">
        <v>156</v>
      </c>
      <c r="D30" s="25" t="s">
        <v>174</v>
      </c>
      <c r="E30" s="25"/>
      <c r="F30" s="30" t="s">
        <v>175</v>
      </c>
      <c r="G30" s="30" t="s">
        <v>176</v>
      </c>
      <c r="H30" s="31" t="s">
        <v>177</v>
      </c>
      <c r="I30" s="26"/>
      <c r="J30" s="26"/>
      <c r="K30" s="26"/>
    </row>
    <row r="31" customFormat="false" ht="67.5" hidden="false" customHeight="true" outlineLevel="0" collapsed="false">
      <c r="A31" s="24" t="n">
        <v>25</v>
      </c>
      <c r="B31" s="25" t="s">
        <v>60</v>
      </c>
      <c r="C31" s="25" t="s">
        <v>156</v>
      </c>
      <c r="D31" s="25" t="s">
        <v>178</v>
      </c>
      <c r="E31" s="25"/>
      <c r="F31" s="30" t="s">
        <v>179</v>
      </c>
      <c r="G31" s="30" t="s">
        <v>180</v>
      </c>
      <c r="H31" s="31" t="s">
        <v>181</v>
      </c>
      <c r="I31" s="26"/>
      <c r="J31" s="26"/>
      <c r="K31" s="26"/>
    </row>
    <row r="32" customFormat="false" ht="81" hidden="false" customHeight="true" outlineLevel="0" collapsed="false">
      <c r="A32" s="24" t="n">
        <v>26</v>
      </c>
      <c r="B32" s="25" t="s">
        <v>60</v>
      </c>
      <c r="C32" s="25" t="s">
        <v>156</v>
      </c>
      <c r="D32" s="25" t="s">
        <v>182</v>
      </c>
      <c r="E32" s="25"/>
      <c r="F32" s="30" t="s">
        <v>183</v>
      </c>
      <c r="G32" s="30" t="s">
        <v>184</v>
      </c>
      <c r="H32" s="31" t="s">
        <v>185</v>
      </c>
      <c r="I32" s="26"/>
      <c r="J32" s="26"/>
      <c r="K32" s="26"/>
    </row>
    <row r="33" customFormat="false" ht="27" hidden="false" customHeight="true" outlineLevel="0" collapsed="false">
      <c r="A33" s="24" t="n">
        <v>27</v>
      </c>
      <c r="B33" s="25" t="s">
        <v>60</v>
      </c>
      <c r="C33" s="25" t="s">
        <v>186</v>
      </c>
      <c r="D33" s="25" t="s">
        <v>187</v>
      </c>
      <c r="E33" s="25"/>
      <c r="F33" s="25" t="s">
        <v>188</v>
      </c>
      <c r="G33" s="25" t="s">
        <v>189</v>
      </c>
      <c r="H33" s="25"/>
      <c r="I33" s="26"/>
      <c r="J33" s="26"/>
      <c r="K33" s="26"/>
    </row>
    <row r="34" customFormat="false" ht="27" hidden="false" customHeight="true" outlineLevel="0" collapsed="false">
      <c r="A34" s="24" t="n">
        <v>28</v>
      </c>
      <c r="B34" s="25" t="s">
        <v>60</v>
      </c>
      <c r="C34" s="25" t="s">
        <v>186</v>
      </c>
      <c r="D34" s="25" t="s">
        <v>190</v>
      </c>
      <c r="E34" s="25"/>
      <c r="F34" s="25" t="s">
        <v>191</v>
      </c>
      <c r="G34" s="25" t="s">
        <v>192</v>
      </c>
      <c r="H34" s="25"/>
      <c r="I34" s="26"/>
      <c r="J34" s="26"/>
      <c r="K34" s="26"/>
    </row>
    <row r="35" customFormat="false" ht="27" hidden="false" customHeight="true" outlineLevel="0" collapsed="false">
      <c r="A35" s="24" t="n">
        <v>29</v>
      </c>
      <c r="B35" s="25" t="s">
        <v>60</v>
      </c>
      <c r="C35" s="25" t="s">
        <v>186</v>
      </c>
      <c r="D35" s="25" t="s">
        <v>193</v>
      </c>
      <c r="E35" s="25"/>
      <c r="F35" s="25" t="s">
        <v>194</v>
      </c>
      <c r="G35" s="25" t="s">
        <v>195</v>
      </c>
      <c r="H35" s="25"/>
      <c r="I35" s="26"/>
      <c r="J35" s="26"/>
      <c r="K35" s="26"/>
    </row>
    <row r="36" customFormat="false" ht="27" hidden="false" customHeight="true" outlineLevel="0" collapsed="false">
      <c r="A36" s="24" t="n">
        <v>30</v>
      </c>
      <c r="B36" s="25" t="s">
        <v>60</v>
      </c>
      <c r="C36" s="25" t="s">
        <v>186</v>
      </c>
      <c r="D36" s="25" t="s">
        <v>196</v>
      </c>
      <c r="E36" s="25"/>
      <c r="F36" s="25" t="s">
        <v>197</v>
      </c>
      <c r="G36" s="25" t="s">
        <v>198</v>
      </c>
      <c r="H36" s="25" t="s">
        <v>199</v>
      </c>
      <c r="I36" s="26"/>
      <c r="J36" s="26"/>
      <c r="K36" s="26"/>
    </row>
    <row r="37" customFormat="false" ht="27" hidden="false" customHeight="true" outlineLevel="0" collapsed="false">
      <c r="A37" s="24" t="n">
        <v>31</v>
      </c>
      <c r="B37" s="25" t="s">
        <v>60</v>
      </c>
      <c r="C37" s="25" t="s">
        <v>186</v>
      </c>
      <c r="D37" s="25" t="s">
        <v>200</v>
      </c>
      <c r="E37" s="25"/>
      <c r="F37" s="25" t="s">
        <v>201</v>
      </c>
      <c r="G37" s="25" t="s">
        <v>202</v>
      </c>
      <c r="H37" s="25"/>
      <c r="I37" s="26"/>
      <c r="J37" s="26"/>
      <c r="K37" s="26"/>
    </row>
    <row r="38" customFormat="false" ht="27" hidden="false" customHeight="true" outlineLevel="0" collapsed="false">
      <c r="A38" s="24" t="n">
        <v>32</v>
      </c>
      <c r="B38" s="25" t="s">
        <v>60</v>
      </c>
      <c r="C38" s="25" t="s">
        <v>203</v>
      </c>
      <c r="D38" s="25" t="s">
        <v>204</v>
      </c>
      <c r="E38" s="25"/>
      <c r="F38" s="25" t="s">
        <v>15</v>
      </c>
      <c r="G38" s="25" t="s">
        <v>17</v>
      </c>
      <c r="H38" s="25"/>
      <c r="I38" s="26"/>
      <c r="J38" s="26"/>
      <c r="K38" s="26"/>
    </row>
    <row r="39" customFormat="false" ht="27" hidden="false" customHeight="true" outlineLevel="0" collapsed="false">
      <c r="A39" s="24" t="n">
        <v>33</v>
      </c>
      <c r="B39" s="25" t="s">
        <v>60</v>
      </c>
      <c r="C39" s="25" t="s">
        <v>203</v>
      </c>
      <c r="D39" s="25" t="s">
        <v>205</v>
      </c>
      <c r="E39" s="25"/>
      <c r="F39" s="25" t="s">
        <v>206</v>
      </c>
      <c r="G39" s="25" t="s">
        <v>207</v>
      </c>
      <c r="H39" s="25"/>
      <c r="I39" s="26"/>
      <c r="J39" s="26"/>
      <c r="K39" s="26"/>
    </row>
    <row r="40" customFormat="false" ht="27" hidden="false" customHeight="true" outlineLevel="0" collapsed="false">
      <c r="A40" s="24" t="n">
        <v>34</v>
      </c>
      <c r="B40" s="25" t="s">
        <v>60</v>
      </c>
      <c r="C40" s="25" t="s">
        <v>208</v>
      </c>
      <c r="D40" s="25" t="s">
        <v>209</v>
      </c>
      <c r="E40" s="25"/>
      <c r="F40" s="25" t="s">
        <v>210</v>
      </c>
      <c r="G40" s="25" t="s">
        <v>211</v>
      </c>
      <c r="H40" s="25"/>
      <c r="I40" s="26"/>
      <c r="J40" s="26"/>
      <c r="K40" s="26"/>
    </row>
    <row r="41" customFormat="false" ht="162" hidden="false" customHeight="true" outlineLevel="0" collapsed="false">
      <c r="A41" s="27" t="s">
        <v>212</v>
      </c>
      <c r="B41" s="28" t="s">
        <v>60</v>
      </c>
      <c r="C41" s="28" t="s">
        <v>213</v>
      </c>
      <c r="D41" s="28" t="s">
        <v>214</v>
      </c>
      <c r="E41" s="28"/>
      <c r="F41" s="28" t="s">
        <v>215</v>
      </c>
      <c r="G41" s="28" t="s">
        <v>216</v>
      </c>
      <c r="H41" s="28" t="s">
        <v>217</v>
      </c>
      <c r="I41" s="28"/>
      <c r="J41" s="28"/>
      <c r="K41" s="26"/>
    </row>
    <row r="42" customFormat="false" ht="162" hidden="false" customHeight="true" outlineLevel="0" collapsed="false">
      <c r="A42" s="24" t="n">
        <v>35</v>
      </c>
      <c r="B42" s="25" t="s">
        <v>60</v>
      </c>
      <c r="C42" s="25" t="s">
        <v>213</v>
      </c>
      <c r="D42" s="25" t="s">
        <v>218</v>
      </c>
      <c r="E42" s="25"/>
      <c r="F42" s="25" t="s">
        <v>219</v>
      </c>
      <c r="G42" s="25" t="s">
        <v>220</v>
      </c>
      <c r="H42" s="25" t="s">
        <v>221</v>
      </c>
      <c r="I42" s="26"/>
      <c r="J42" s="26"/>
      <c r="K42" s="26"/>
    </row>
    <row r="43" customFormat="false" ht="27" hidden="false" customHeight="true" outlineLevel="0" collapsed="false">
      <c r="A43" s="24" t="n">
        <v>36</v>
      </c>
      <c r="B43" s="25" t="s">
        <v>60</v>
      </c>
      <c r="C43" s="25" t="s">
        <v>213</v>
      </c>
      <c r="D43" s="25" t="s">
        <v>222</v>
      </c>
      <c r="E43" s="25"/>
      <c r="F43" s="25" t="s">
        <v>223</v>
      </c>
      <c r="G43" s="25" t="s">
        <v>224</v>
      </c>
      <c r="H43" s="25" t="s">
        <v>225</v>
      </c>
      <c r="I43" s="26"/>
      <c r="J43" s="26"/>
      <c r="K43" s="26"/>
    </row>
    <row r="44" customFormat="false" ht="27" hidden="false" customHeight="true" outlineLevel="0" collapsed="false">
      <c r="A44" s="24" t="n">
        <v>37</v>
      </c>
      <c r="B44" s="25" t="s">
        <v>60</v>
      </c>
      <c r="C44" s="25" t="s">
        <v>213</v>
      </c>
      <c r="D44" s="25" t="s">
        <v>226</v>
      </c>
      <c r="E44" s="25"/>
      <c r="F44" s="25" t="s">
        <v>227</v>
      </c>
      <c r="G44" s="25" t="s">
        <v>228</v>
      </c>
      <c r="H44" s="25" t="s">
        <v>229</v>
      </c>
      <c r="I44" s="26"/>
      <c r="J44" s="26"/>
      <c r="K44" s="26"/>
    </row>
    <row r="45" customFormat="false" ht="54" hidden="false" customHeight="true" outlineLevel="0" collapsed="false">
      <c r="A45" s="24" t="n">
        <v>38</v>
      </c>
      <c r="B45" s="25" t="s">
        <v>60</v>
      </c>
      <c r="C45" s="25" t="s">
        <v>213</v>
      </c>
      <c r="D45" s="25" t="s">
        <v>230</v>
      </c>
      <c r="E45" s="25"/>
      <c r="F45" s="25" t="s">
        <v>231</v>
      </c>
      <c r="G45" s="25" t="s">
        <v>232</v>
      </c>
      <c r="H45" s="25"/>
      <c r="I45" s="26"/>
      <c r="J45" s="26"/>
      <c r="K45" s="26"/>
    </row>
    <row r="46" customFormat="false" ht="94.5" hidden="false" customHeight="true" outlineLevel="0" collapsed="false">
      <c r="A46" s="27" t="s">
        <v>233</v>
      </c>
      <c r="B46" s="28" t="s">
        <v>60</v>
      </c>
      <c r="C46" s="28" t="s">
        <v>213</v>
      </c>
      <c r="D46" s="28" t="s">
        <v>234</v>
      </c>
      <c r="E46" s="28"/>
      <c r="F46" s="28" t="s">
        <v>235</v>
      </c>
      <c r="G46" s="28" t="s">
        <v>236</v>
      </c>
      <c r="H46" s="29" t="s">
        <v>237</v>
      </c>
      <c r="I46" s="28"/>
      <c r="J46" s="28"/>
      <c r="K46" s="26"/>
    </row>
    <row r="47" customFormat="false" ht="94.5" hidden="false" customHeight="true" outlineLevel="0" collapsed="false">
      <c r="A47" s="24" t="n">
        <v>39</v>
      </c>
      <c r="B47" s="25" t="s">
        <v>60</v>
      </c>
      <c r="C47" s="25" t="s">
        <v>213</v>
      </c>
      <c r="D47" s="25" t="s">
        <v>238</v>
      </c>
      <c r="E47" s="25"/>
      <c r="F47" s="30" t="s">
        <v>239</v>
      </c>
      <c r="G47" s="30" t="s">
        <v>240</v>
      </c>
      <c r="H47" s="31" t="s">
        <v>241</v>
      </c>
      <c r="I47" s="26"/>
      <c r="J47" s="26"/>
      <c r="K47" s="26"/>
    </row>
    <row r="48" customFormat="false" ht="40.5" hidden="false" customHeight="true" outlineLevel="0" collapsed="false">
      <c r="A48" s="27" t="s">
        <v>242</v>
      </c>
      <c r="B48" s="28" t="s">
        <v>60</v>
      </c>
      <c r="C48" s="28" t="s">
        <v>243</v>
      </c>
      <c r="D48" s="28" t="s">
        <v>244</v>
      </c>
      <c r="E48" s="28"/>
      <c r="F48" s="28" t="s">
        <v>245</v>
      </c>
      <c r="G48" s="28" t="s">
        <v>246</v>
      </c>
      <c r="H48" s="28" t="s">
        <v>247</v>
      </c>
      <c r="I48" s="28"/>
      <c r="J48" s="28"/>
      <c r="K48" s="26"/>
    </row>
    <row r="49" customFormat="false" ht="27" hidden="false" customHeight="true" outlineLevel="0" collapsed="false">
      <c r="A49" s="24" t="n">
        <v>40</v>
      </c>
      <c r="B49" s="25" t="s">
        <v>60</v>
      </c>
      <c r="C49" s="25" t="s">
        <v>243</v>
      </c>
      <c r="D49" s="25" t="s">
        <v>248</v>
      </c>
      <c r="E49" s="25"/>
      <c r="F49" s="25" t="s">
        <v>249</v>
      </c>
      <c r="G49" s="25" t="s">
        <v>250</v>
      </c>
      <c r="H49" s="25" t="s">
        <v>251</v>
      </c>
      <c r="I49" s="26"/>
      <c r="J49" s="26"/>
      <c r="K49" s="26"/>
    </row>
    <row r="50" customFormat="false" ht="27" hidden="false" customHeight="true" outlineLevel="0" collapsed="false">
      <c r="A50" s="24" t="n">
        <v>41</v>
      </c>
      <c r="B50" s="25" t="s">
        <v>60</v>
      </c>
      <c r="C50" s="25" t="s">
        <v>243</v>
      </c>
      <c r="D50" s="25" t="s">
        <v>252</v>
      </c>
      <c r="E50" s="25"/>
      <c r="F50" s="25" t="s">
        <v>253</v>
      </c>
      <c r="G50" s="25" t="s">
        <v>254</v>
      </c>
      <c r="H50" s="25" t="s">
        <v>255</v>
      </c>
      <c r="I50" s="26"/>
      <c r="J50" s="26"/>
      <c r="K50" s="26"/>
    </row>
    <row r="51" customFormat="false" ht="27" hidden="false" customHeight="true" outlineLevel="0" collapsed="false">
      <c r="A51" s="24" t="n">
        <v>42</v>
      </c>
      <c r="B51" s="25" t="s">
        <v>60</v>
      </c>
      <c r="C51" s="25" t="s">
        <v>243</v>
      </c>
      <c r="D51" s="25" t="s">
        <v>256</v>
      </c>
      <c r="E51" s="25"/>
      <c r="F51" s="25" t="s">
        <v>257</v>
      </c>
      <c r="G51" s="25" t="s">
        <v>258</v>
      </c>
      <c r="H51" s="25" t="s">
        <v>251</v>
      </c>
      <c r="I51" s="26"/>
      <c r="J51" s="26"/>
      <c r="K51" s="26"/>
    </row>
    <row r="52" customFormat="false" ht="27" hidden="false" customHeight="true" outlineLevel="0" collapsed="false">
      <c r="A52" s="24" t="n">
        <v>43</v>
      </c>
      <c r="B52" s="25" t="s">
        <v>60</v>
      </c>
      <c r="C52" s="25" t="s">
        <v>243</v>
      </c>
      <c r="D52" s="25" t="s">
        <v>259</v>
      </c>
      <c r="E52" s="25"/>
      <c r="F52" s="25" t="s">
        <v>260</v>
      </c>
      <c r="G52" s="25" t="s">
        <v>261</v>
      </c>
      <c r="H52" s="25" t="s">
        <v>255</v>
      </c>
      <c r="I52" s="26"/>
      <c r="J52" s="26"/>
      <c r="K52" s="26"/>
    </row>
    <row r="53" customFormat="false" ht="27" hidden="false" customHeight="true" outlineLevel="0" collapsed="false">
      <c r="A53" s="24" t="n">
        <v>44</v>
      </c>
      <c r="B53" s="25" t="s">
        <v>60</v>
      </c>
      <c r="C53" s="25" t="s">
        <v>243</v>
      </c>
      <c r="D53" s="25" t="s">
        <v>262</v>
      </c>
      <c r="E53" s="25"/>
      <c r="F53" s="25" t="s">
        <v>227</v>
      </c>
      <c r="G53" s="25" t="s">
        <v>227</v>
      </c>
      <c r="H53" s="25" t="s">
        <v>251</v>
      </c>
      <c r="I53" s="26"/>
      <c r="J53" s="26"/>
      <c r="K53" s="26"/>
    </row>
    <row r="54" customFormat="false" ht="40.5" hidden="false" customHeight="true" outlineLevel="0" collapsed="false">
      <c r="A54" s="32" t="n">
        <v>45</v>
      </c>
      <c r="B54" s="33" t="s">
        <v>61</v>
      </c>
      <c r="C54" s="33"/>
      <c r="D54" s="33" t="s">
        <v>78</v>
      </c>
      <c r="E54" s="33"/>
      <c r="F54" s="33" t="s">
        <v>263</v>
      </c>
      <c r="G54" s="33" t="s">
        <v>264</v>
      </c>
      <c r="H54" s="33"/>
      <c r="I54" s="26"/>
      <c r="J54" s="26"/>
      <c r="K54" s="26"/>
    </row>
    <row r="55" customFormat="false" ht="40.5" hidden="false" customHeight="true" outlineLevel="0" collapsed="false">
      <c r="A55" s="27" t="s">
        <v>265</v>
      </c>
      <c r="B55" s="28" t="s">
        <v>61</v>
      </c>
      <c r="C55" s="28"/>
      <c r="D55" s="28" t="s">
        <v>266</v>
      </c>
      <c r="E55" s="28"/>
      <c r="F55" s="28" t="s">
        <v>267</v>
      </c>
      <c r="G55" s="28" t="s">
        <v>268</v>
      </c>
      <c r="H55" s="28" t="s">
        <v>269</v>
      </c>
      <c r="I55" s="28"/>
      <c r="J55" s="28"/>
      <c r="K55" s="26"/>
    </row>
    <row r="56" customFormat="false" ht="40.5" hidden="false" customHeight="true" outlineLevel="0" collapsed="false">
      <c r="A56" s="32" t="n">
        <v>46</v>
      </c>
      <c r="B56" s="33" t="s">
        <v>61</v>
      </c>
      <c r="C56" s="33"/>
      <c r="D56" s="33" t="s">
        <v>270</v>
      </c>
      <c r="E56" s="33"/>
      <c r="F56" s="33" t="s">
        <v>271</v>
      </c>
      <c r="G56" s="33" t="s">
        <v>272</v>
      </c>
      <c r="H56" s="33"/>
      <c r="I56" s="26"/>
      <c r="J56" s="26"/>
      <c r="K56" s="26"/>
    </row>
    <row r="57" customFormat="false" ht="40.5" hidden="false" customHeight="true" outlineLevel="0" collapsed="false">
      <c r="A57" s="32" t="n">
        <v>47</v>
      </c>
      <c r="B57" s="33" t="s">
        <v>61</v>
      </c>
      <c r="C57" s="33"/>
      <c r="D57" s="33" t="s">
        <v>273</v>
      </c>
      <c r="E57" s="33"/>
      <c r="F57" s="33" t="s">
        <v>274</v>
      </c>
      <c r="G57" s="33" t="s">
        <v>275</v>
      </c>
      <c r="H57" s="33"/>
      <c r="I57" s="26"/>
      <c r="J57" s="26"/>
      <c r="K57" s="26"/>
    </row>
    <row r="58" customFormat="false" ht="40.5" hidden="false" customHeight="true" outlineLevel="0" collapsed="false">
      <c r="A58" s="32" t="n">
        <v>48</v>
      </c>
      <c r="B58" s="33" t="s">
        <v>61</v>
      </c>
      <c r="C58" s="33"/>
      <c r="D58" s="33" t="s">
        <v>276</v>
      </c>
      <c r="E58" s="33"/>
      <c r="F58" s="33" t="s">
        <v>277</v>
      </c>
      <c r="G58" s="33" t="s">
        <v>278</v>
      </c>
      <c r="H58" s="33"/>
      <c r="I58" s="26"/>
      <c r="J58" s="26"/>
      <c r="K58" s="26"/>
    </row>
    <row r="59" customFormat="false" ht="40.5" hidden="false" customHeight="true" outlineLevel="0" collapsed="false">
      <c r="A59" s="32" t="n">
        <v>49</v>
      </c>
      <c r="B59" s="33" t="s">
        <v>61</v>
      </c>
      <c r="C59" s="33"/>
      <c r="D59" s="33" t="s">
        <v>279</v>
      </c>
      <c r="E59" s="33"/>
      <c r="F59" s="33" t="s">
        <v>280</v>
      </c>
      <c r="G59" s="33" t="s">
        <v>281</v>
      </c>
      <c r="H59" s="33"/>
      <c r="I59" s="26"/>
      <c r="J59" s="26"/>
      <c r="K59" s="26"/>
    </row>
    <row r="60" customFormat="false" ht="40.5" hidden="false" customHeight="true" outlineLevel="0" collapsed="false">
      <c r="A60" s="32" t="n">
        <v>50</v>
      </c>
      <c r="B60" s="33" t="s">
        <v>61</v>
      </c>
      <c r="C60" s="33"/>
      <c r="D60" s="33" t="s">
        <v>282</v>
      </c>
      <c r="E60" s="33"/>
      <c r="F60" s="33" t="s">
        <v>283</v>
      </c>
      <c r="G60" s="33" t="s">
        <v>284</v>
      </c>
      <c r="H60" s="33"/>
      <c r="I60" s="26"/>
      <c r="J60" s="26"/>
      <c r="K60" s="26"/>
    </row>
    <row r="61" customFormat="false" ht="40.5" hidden="false" customHeight="true" outlineLevel="0" collapsed="false">
      <c r="A61" s="32" t="n">
        <v>51</v>
      </c>
      <c r="B61" s="33" t="s">
        <v>61</v>
      </c>
      <c r="C61" s="33"/>
      <c r="D61" s="33" t="s">
        <v>285</v>
      </c>
      <c r="E61" s="33"/>
      <c r="F61" s="33" t="s">
        <v>286</v>
      </c>
      <c r="G61" s="33" t="s">
        <v>287</v>
      </c>
      <c r="H61" s="33" t="s">
        <v>288</v>
      </c>
      <c r="I61" s="26"/>
      <c r="J61" s="26"/>
      <c r="K61" s="26"/>
    </row>
    <row r="62" customFormat="false" ht="40.5" hidden="false" customHeight="true" outlineLevel="0" collapsed="false">
      <c r="A62" s="32" t="n">
        <v>52</v>
      </c>
      <c r="B62" s="33" t="s">
        <v>61</v>
      </c>
      <c r="C62" s="33"/>
      <c r="D62" s="33" t="s">
        <v>289</v>
      </c>
      <c r="E62" s="33"/>
      <c r="F62" s="33" t="s">
        <v>290</v>
      </c>
      <c r="G62" s="33" t="s">
        <v>291</v>
      </c>
      <c r="H62" s="33" t="s">
        <v>288</v>
      </c>
      <c r="I62" s="26"/>
      <c r="J62" s="26"/>
      <c r="K62" s="26"/>
    </row>
    <row r="63" customFormat="false" ht="40.5" hidden="false" customHeight="true" outlineLevel="0" collapsed="false">
      <c r="A63" s="32" t="n">
        <v>53</v>
      </c>
      <c r="B63" s="33" t="s">
        <v>61</v>
      </c>
      <c r="C63" s="33"/>
      <c r="D63" s="33" t="s">
        <v>292</v>
      </c>
      <c r="E63" s="33"/>
      <c r="F63" s="33" t="s">
        <v>293</v>
      </c>
      <c r="G63" s="33" t="s">
        <v>294</v>
      </c>
      <c r="H63" s="33" t="s">
        <v>295</v>
      </c>
      <c r="I63" s="26"/>
      <c r="J63" s="26"/>
      <c r="K63" s="26"/>
    </row>
    <row r="64" customFormat="false" ht="40.5" hidden="false" customHeight="true" outlineLevel="0" collapsed="false">
      <c r="A64" s="32" t="n">
        <v>54</v>
      </c>
      <c r="B64" s="33" t="s">
        <v>61</v>
      </c>
      <c r="C64" s="33"/>
      <c r="D64" s="33" t="s">
        <v>296</v>
      </c>
      <c r="E64" s="33"/>
      <c r="F64" s="33" t="s">
        <v>297</v>
      </c>
      <c r="G64" s="33" t="s">
        <v>298</v>
      </c>
      <c r="H64" s="33" t="s">
        <v>295</v>
      </c>
      <c r="I64" s="26"/>
      <c r="J64" s="26"/>
      <c r="K64" s="26"/>
    </row>
    <row r="65" customFormat="false" ht="40.5" hidden="false" customHeight="true" outlineLevel="0" collapsed="false">
      <c r="A65" s="32" t="n">
        <v>55</v>
      </c>
      <c r="B65" s="33" t="s">
        <v>61</v>
      </c>
      <c r="C65" s="33"/>
      <c r="D65" s="33" t="s">
        <v>299</v>
      </c>
      <c r="E65" s="33"/>
      <c r="F65" s="33" t="s">
        <v>300</v>
      </c>
      <c r="G65" s="33" t="s">
        <v>301</v>
      </c>
      <c r="H65" s="33"/>
      <c r="I65" s="26"/>
      <c r="J65" s="26"/>
      <c r="K65" s="26"/>
    </row>
    <row r="66" customFormat="false" ht="40.5" hidden="false" customHeight="true" outlineLevel="0" collapsed="false">
      <c r="A66" s="32" t="n">
        <v>56</v>
      </c>
      <c r="B66" s="33" t="s">
        <v>61</v>
      </c>
      <c r="C66" s="33"/>
      <c r="D66" s="33" t="s">
        <v>302</v>
      </c>
      <c r="E66" s="33"/>
      <c r="F66" s="33" t="s">
        <v>303</v>
      </c>
      <c r="G66" s="33" t="s">
        <v>304</v>
      </c>
      <c r="H66" s="33"/>
      <c r="I66" s="26"/>
      <c r="J66" s="26"/>
      <c r="K66" s="26"/>
    </row>
    <row r="67" customFormat="false" ht="40.5" hidden="false" customHeight="true" outlineLevel="0" collapsed="false">
      <c r="A67" s="32" t="n">
        <v>57</v>
      </c>
      <c r="B67" s="33" t="s">
        <v>61</v>
      </c>
      <c r="C67" s="33"/>
      <c r="D67" s="33" t="s">
        <v>204</v>
      </c>
      <c r="E67" s="33"/>
      <c r="F67" s="33" t="s">
        <v>305</v>
      </c>
      <c r="G67" s="33" t="s">
        <v>306</v>
      </c>
      <c r="H67" s="33"/>
      <c r="I67" s="26"/>
      <c r="J67" s="26"/>
      <c r="K67" s="26"/>
    </row>
    <row r="68" customFormat="false" ht="40.5" hidden="false" customHeight="true" outlineLevel="0" collapsed="false">
      <c r="A68" s="24" t="n">
        <v>58</v>
      </c>
      <c r="B68" s="25" t="s">
        <v>62</v>
      </c>
      <c r="C68" s="25"/>
      <c r="D68" s="25" t="s">
        <v>78</v>
      </c>
      <c r="E68" s="25"/>
      <c r="F68" s="25" t="s">
        <v>307</v>
      </c>
      <c r="G68" s="25" t="s">
        <v>308</v>
      </c>
      <c r="H68" s="25"/>
      <c r="I68" s="26"/>
      <c r="J68" s="26"/>
      <c r="K68" s="26"/>
    </row>
    <row r="69" customFormat="false" ht="40.5" hidden="false" customHeight="true" outlineLevel="0" collapsed="false">
      <c r="A69" s="24" t="n">
        <v>59</v>
      </c>
      <c r="B69" s="25" t="s">
        <v>62</v>
      </c>
      <c r="C69" s="25"/>
      <c r="D69" s="25" t="s">
        <v>309</v>
      </c>
      <c r="E69" s="25"/>
      <c r="F69" s="25" t="s">
        <v>310</v>
      </c>
      <c r="G69" s="25" t="s">
        <v>311</v>
      </c>
      <c r="H69" s="25"/>
      <c r="I69" s="26"/>
      <c r="J69" s="26"/>
      <c r="K69" s="26"/>
    </row>
    <row r="70" customFormat="false" ht="40.5" hidden="false" customHeight="true" outlineLevel="0" collapsed="false">
      <c r="A70" s="24" t="n">
        <v>60</v>
      </c>
      <c r="B70" s="25" t="s">
        <v>62</v>
      </c>
      <c r="C70" s="25"/>
      <c r="D70" s="25" t="s">
        <v>312</v>
      </c>
      <c r="E70" s="25"/>
      <c r="F70" s="25" t="s">
        <v>313</v>
      </c>
      <c r="G70" s="25" t="s">
        <v>314</v>
      </c>
      <c r="H70" s="25"/>
      <c r="I70" s="26"/>
      <c r="J70" s="26"/>
      <c r="K70" s="26"/>
    </row>
    <row r="71" customFormat="false" ht="40.5" hidden="false" customHeight="true" outlineLevel="0" collapsed="false">
      <c r="A71" s="27" t="s">
        <v>315</v>
      </c>
      <c r="B71" s="28" t="s">
        <v>62</v>
      </c>
      <c r="C71" s="28"/>
      <c r="D71" s="28" t="s">
        <v>316</v>
      </c>
      <c r="E71" s="28"/>
      <c r="F71" s="28" t="s">
        <v>317</v>
      </c>
      <c r="G71" s="28" t="s">
        <v>318</v>
      </c>
      <c r="H71" s="28" t="s">
        <v>319</v>
      </c>
      <c r="I71" s="28"/>
      <c r="J71" s="28"/>
      <c r="K71" s="26"/>
    </row>
    <row r="72" customFormat="false" ht="40.5" hidden="false" customHeight="true" outlineLevel="0" collapsed="false">
      <c r="A72" s="24" t="n">
        <v>61</v>
      </c>
      <c r="B72" s="25" t="s">
        <v>62</v>
      </c>
      <c r="C72" s="25"/>
      <c r="D72" s="25" t="s">
        <v>320</v>
      </c>
      <c r="E72" s="25"/>
      <c r="F72" s="25" t="s">
        <v>321</v>
      </c>
      <c r="G72" s="25" t="s">
        <v>322</v>
      </c>
      <c r="H72" s="25" t="s">
        <v>251</v>
      </c>
      <c r="I72" s="26"/>
      <c r="J72" s="26"/>
      <c r="K72" s="26"/>
    </row>
    <row r="73" customFormat="false" ht="40.5" hidden="false" customHeight="true" outlineLevel="0" collapsed="false">
      <c r="A73" s="24" t="n">
        <v>62</v>
      </c>
      <c r="B73" s="25" t="s">
        <v>62</v>
      </c>
      <c r="C73" s="25"/>
      <c r="D73" s="25" t="s">
        <v>323</v>
      </c>
      <c r="E73" s="25"/>
      <c r="F73" s="25" t="s">
        <v>324</v>
      </c>
      <c r="G73" s="25" t="s">
        <v>325</v>
      </c>
      <c r="H73" s="25" t="s">
        <v>255</v>
      </c>
      <c r="I73" s="26"/>
      <c r="J73" s="26"/>
      <c r="K73" s="26"/>
    </row>
    <row r="74" customFormat="false" ht="40.5" hidden="false" customHeight="true" outlineLevel="0" collapsed="false">
      <c r="A74" s="24" t="n">
        <v>63</v>
      </c>
      <c r="B74" s="25" t="s">
        <v>62</v>
      </c>
      <c r="C74" s="25"/>
      <c r="D74" s="25" t="s">
        <v>326</v>
      </c>
      <c r="E74" s="25"/>
      <c r="F74" s="25" t="s">
        <v>327</v>
      </c>
      <c r="G74" s="25" t="s">
        <v>328</v>
      </c>
      <c r="H74" s="25" t="s">
        <v>251</v>
      </c>
      <c r="I74" s="26"/>
      <c r="J74" s="26"/>
      <c r="K74" s="26"/>
    </row>
    <row r="75" customFormat="false" ht="40.5" hidden="false" customHeight="true" outlineLevel="0" collapsed="false">
      <c r="A75" s="24" t="n">
        <v>64</v>
      </c>
      <c r="B75" s="25" t="s">
        <v>62</v>
      </c>
      <c r="C75" s="25"/>
      <c r="D75" s="25" t="s">
        <v>329</v>
      </c>
      <c r="E75" s="25"/>
      <c r="F75" s="25" t="s">
        <v>330</v>
      </c>
      <c r="G75" s="25" t="s">
        <v>331</v>
      </c>
      <c r="H75" s="25"/>
      <c r="I75" s="26"/>
      <c r="J75" s="26"/>
      <c r="K75" s="26"/>
    </row>
    <row r="76" customFormat="false" ht="40.5" hidden="false" customHeight="true" outlineLevel="0" collapsed="false">
      <c r="A76" s="24" t="n">
        <v>65</v>
      </c>
      <c r="B76" s="25" t="s">
        <v>62</v>
      </c>
      <c r="C76" s="25"/>
      <c r="D76" s="25" t="s">
        <v>204</v>
      </c>
      <c r="E76" s="25"/>
      <c r="F76" s="25" t="s">
        <v>332</v>
      </c>
      <c r="G76" s="25" t="s">
        <v>333</v>
      </c>
      <c r="H76" s="25"/>
      <c r="I76" s="26"/>
      <c r="J76" s="26"/>
      <c r="K76" s="26"/>
    </row>
    <row r="77" customFormat="false" ht="40.5" hidden="false" customHeight="true" outlineLevel="0" collapsed="false">
      <c r="A77" s="32" t="n">
        <v>66</v>
      </c>
      <c r="B77" s="33" t="s">
        <v>63</v>
      </c>
      <c r="C77" s="33" t="s">
        <v>334</v>
      </c>
      <c r="D77" s="33" t="s">
        <v>335</v>
      </c>
      <c r="E77" s="33"/>
      <c r="F77" s="33" t="s">
        <v>336</v>
      </c>
      <c r="G77" s="33" t="s">
        <v>336</v>
      </c>
      <c r="H77" s="33"/>
      <c r="I77" s="26"/>
      <c r="J77" s="26"/>
      <c r="K77" s="26"/>
    </row>
    <row r="78" customFormat="false" ht="40.5" hidden="false" customHeight="true" outlineLevel="0" collapsed="false">
      <c r="A78" s="32" t="n">
        <v>67</v>
      </c>
      <c r="B78" s="33" t="s">
        <v>63</v>
      </c>
      <c r="C78" s="33" t="s">
        <v>334</v>
      </c>
      <c r="D78" s="33" t="s">
        <v>337</v>
      </c>
      <c r="E78" s="33"/>
      <c r="F78" s="33" t="s">
        <v>338</v>
      </c>
      <c r="G78" s="33" t="s">
        <v>339</v>
      </c>
      <c r="H78" s="33" t="s">
        <v>340</v>
      </c>
      <c r="I78" s="26"/>
      <c r="J78" s="26"/>
      <c r="K78" s="26"/>
    </row>
    <row r="79" customFormat="false" ht="40.5" hidden="false" customHeight="true" outlineLevel="0" collapsed="false">
      <c r="A79" s="32" t="n">
        <v>68</v>
      </c>
      <c r="B79" s="33" t="s">
        <v>63</v>
      </c>
      <c r="C79" s="33" t="s">
        <v>334</v>
      </c>
      <c r="D79" s="33" t="s">
        <v>341</v>
      </c>
      <c r="E79" s="33"/>
      <c r="F79" s="33" t="s">
        <v>342</v>
      </c>
      <c r="G79" s="33" t="s">
        <v>343</v>
      </c>
      <c r="H79" s="33"/>
      <c r="I79" s="26"/>
      <c r="J79" s="26"/>
      <c r="K79" s="26"/>
    </row>
    <row r="80" customFormat="false" ht="40.5" hidden="false" customHeight="true" outlineLevel="0" collapsed="false">
      <c r="A80" s="32" t="n">
        <v>69</v>
      </c>
      <c r="B80" s="33" t="s">
        <v>63</v>
      </c>
      <c r="C80" s="33" t="s">
        <v>334</v>
      </c>
      <c r="D80" s="33" t="s">
        <v>344</v>
      </c>
      <c r="E80" s="33"/>
      <c r="F80" s="33" t="s">
        <v>345</v>
      </c>
      <c r="G80" s="33" t="s">
        <v>346</v>
      </c>
      <c r="H80" s="33"/>
      <c r="I80" s="26"/>
      <c r="J80" s="26"/>
      <c r="K80" s="26"/>
    </row>
    <row r="81" customFormat="false" ht="40.5" hidden="false" customHeight="true" outlineLevel="0" collapsed="false">
      <c r="A81" s="32" t="n">
        <v>70</v>
      </c>
      <c r="B81" s="33" t="s">
        <v>63</v>
      </c>
      <c r="C81" s="33" t="s">
        <v>334</v>
      </c>
      <c r="D81" s="33" t="s">
        <v>347</v>
      </c>
      <c r="E81" s="33" t="s">
        <v>348</v>
      </c>
      <c r="F81" s="33" t="s">
        <v>349</v>
      </c>
      <c r="G81" s="33" t="s">
        <v>350</v>
      </c>
      <c r="H81" s="33"/>
      <c r="I81" s="26"/>
      <c r="J81" s="26"/>
      <c r="K81" s="26"/>
    </row>
    <row r="82" customFormat="false" ht="40.5" hidden="false" customHeight="true" outlineLevel="0" collapsed="false">
      <c r="A82" s="32" t="n">
        <v>71</v>
      </c>
      <c r="B82" s="33" t="s">
        <v>63</v>
      </c>
      <c r="C82" s="33" t="s">
        <v>334</v>
      </c>
      <c r="D82" s="33" t="s">
        <v>351</v>
      </c>
      <c r="E82" s="33" t="s">
        <v>352</v>
      </c>
      <c r="F82" s="33" t="s">
        <v>353</v>
      </c>
      <c r="G82" s="33" t="s">
        <v>354</v>
      </c>
      <c r="H82" s="33"/>
      <c r="I82" s="26"/>
      <c r="J82" s="26"/>
      <c r="K82" s="26"/>
    </row>
    <row r="83" customFormat="false" ht="40.5" hidden="false" customHeight="true" outlineLevel="0" collapsed="false">
      <c r="A83" s="32" t="n">
        <v>72</v>
      </c>
      <c r="B83" s="33" t="s">
        <v>63</v>
      </c>
      <c r="C83" s="33" t="s">
        <v>334</v>
      </c>
      <c r="D83" s="33" t="s">
        <v>355</v>
      </c>
      <c r="E83" s="33"/>
      <c r="F83" s="33" t="s">
        <v>356</v>
      </c>
      <c r="G83" s="33" t="s">
        <v>357</v>
      </c>
      <c r="H83" s="33"/>
      <c r="I83" s="26"/>
      <c r="J83" s="26"/>
      <c r="K83" s="26"/>
    </row>
    <row r="84" customFormat="false" ht="40.5" hidden="false" customHeight="true" outlineLevel="0" collapsed="false">
      <c r="A84" s="32" t="n">
        <v>73</v>
      </c>
      <c r="B84" s="33" t="s">
        <v>63</v>
      </c>
      <c r="C84" s="33" t="s">
        <v>334</v>
      </c>
      <c r="D84" s="33" t="s">
        <v>358</v>
      </c>
      <c r="E84" s="33"/>
      <c r="F84" s="33" t="s">
        <v>359</v>
      </c>
      <c r="G84" s="33" t="s">
        <v>360</v>
      </c>
      <c r="H84" s="33"/>
      <c r="I84" s="26"/>
      <c r="J84" s="26"/>
      <c r="K84" s="26"/>
    </row>
    <row r="85" customFormat="false" ht="40.5" hidden="false" customHeight="true" outlineLevel="0" collapsed="false">
      <c r="A85" s="32" t="n">
        <v>74</v>
      </c>
      <c r="B85" s="33" t="s">
        <v>63</v>
      </c>
      <c r="C85" s="33" t="s">
        <v>334</v>
      </c>
      <c r="D85" s="33" t="s">
        <v>361</v>
      </c>
      <c r="E85" s="33" t="s">
        <v>362</v>
      </c>
      <c r="F85" s="33" t="s">
        <v>363</v>
      </c>
      <c r="G85" s="33" t="s">
        <v>364</v>
      </c>
      <c r="H85" s="33"/>
      <c r="I85" s="26"/>
      <c r="J85" s="26"/>
      <c r="K85" s="26"/>
    </row>
    <row r="86" customFormat="false" ht="40.5" hidden="false" customHeight="true" outlineLevel="0" collapsed="false">
      <c r="A86" s="32" t="n">
        <v>75</v>
      </c>
      <c r="B86" s="33" t="s">
        <v>63</v>
      </c>
      <c r="C86" s="33" t="s">
        <v>334</v>
      </c>
      <c r="D86" s="33" t="s">
        <v>365</v>
      </c>
      <c r="E86" s="33" t="s">
        <v>366</v>
      </c>
      <c r="F86" s="33" t="s">
        <v>367</v>
      </c>
      <c r="G86" s="33" t="s">
        <v>368</v>
      </c>
      <c r="H86" s="33"/>
      <c r="I86" s="26"/>
      <c r="J86" s="26"/>
      <c r="K86" s="26"/>
    </row>
    <row r="87" customFormat="false" ht="40.5" hidden="false" customHeight="true" outlineLevel="0" collapsed="false">
      <c r="A87" s="32" t="n">
        <v>76</v>
      </c>
      <c r="B87" s="33" t="s">
        <v>63</v>
      </c>
      <c r="C87" s="33" t="s">
        <v>334</v>
      </c>
      <c r="D87" s="33" t="s">
        <v>369</v>
      </c>
      <c r="E87" s="33" t="s">
        <v>358</v>
      </c>
      <c r="F87" s="33" t="s">
        <v>370</v>
      </c>
      <c r="G87" s="33" t="s">
        <v>371</v>
      </c>
      <c r="H87" s="33"/>
      <c r="I87" s="26"/>
      <c r="J87" s="26"/>
      <c r="K87" s="26"/>
    </row>
    <row r="88" customFormat="false" ht="40.5" hidden="false" customHeight="true" outlineLevel="0" collapsed="false">
      <c r="A88" s="32" t="n">
        <v>77</v>
      </c>
      <c r="B88" s="33" t="s">
        <v>63</v>
      </c>
      <c r="C88" s="33" t="s">
        <v>372</v>
      </c>
      <c r="D88" s="33" t="s">
        <v>373</v>
      </c>
      <c r="E88" s="33"/>
      <c r="F88" s="33" t="s">
        <v>374</v>
      </c>
      <c r="G88" s="33" t="s">
        <v>375</v>
      </c>
      <c r="H88" s="33" t="s">
        <v>376</v>
      </c>
      <c r="I88" s="26"/>
      <c r="J88" s="26"/>
      <c r="K88" s="26"/>
    </row>
    <row r="89" customFormat="false" ht="40.5" hidden="false" customHeight="true" outlineLevel="0" collapsed="false">
      <c r="A89" s="32" t="n">
        <v>78</v>
      </c>
      <c r="B89" s="33" t="s">
        <v>63</v>
      </c>
      <c r="C89" s="33" t="s">
        <v>372</v>
      </c>
      <c r="D89" s="33" t="s">
        <v>377</v>
      </c>
      <c r="E89" s="33"/>
      <c r="F89" s="33" t="s">
        <v>378</v>
      </c>
      <c r="G89" s="33" t="s">
        <v>379</v>
      </c>
      <c r="H89" s="33"/>
      <c r="I89" s="26"/>
      <c r="J89" s="26"/>
      <c r="K89" s="26"/>
    </row>
    <row r="90" customFormat="false" ht="40.5" hidden="false" customHeight="true" outlineLevel="0" collapsed="false">
      <c r="A90" s="32" t="n">
        <v>79</v>
      </c>
      <c r="B90" s="33" t="s">
        <v>63</v>
      </c>
      <c r="C90" s="33" t="s">
        <v>372</v>
      </c>
      <c r="D90" s="33" t="s">
        <v>380</v>
      </c>
      <c r="E90" s="33"/>
      <c r="F90" s="33" t="s">
        <v>381</v>
      </c>
      <c r="G90" s="33" t="s">
        <v>382</v>
      </c>
      <c r="H90" s="33"/>
      <c r="I90" s="26"/>
      <c r="J90" s="26"/>
      <c r="K90" s="26"/>
    </row>
    <row r="91" customFormat="false" ht="40.5" hidden="false" customHeight="true" outlineLevel="0" collapsed="false">
      <c r="A91" s="32" t="n">
        <v>80</v>
      </c>
      <c r="B91" s="33" t="s">
        <v>63</v>
      </c>
      <c r="C91" s="33" t="s">
        <v>383</v>
      </c>
      <c r="D91" s="33" t="s">
        <v>384</v>
      </c>
      <c r="E91" s="33"/>
      <c r="F91" s="33" t="s">
        <v>313</v>
      </c>
      <c r="G91" s="33" t="s">
        <v>314</v>
      </c>
      <c r="H91" s="33"/>
      <c r="I91" s="26"/>
      <c r="J91" s="26"/>
      <c r="K91" s="26"/>
    </row>
    <row r="92" customFormat="false" ht="40.5" hidden="false" customHeight="true" outlineLevel="0" collapsed="false">
      <c r="A92" s="32" t="n">
        <v>81</v>
      </c>
      <c r="B92" s="33" t="s">
        <v>63</v>
      </c>
      <c r="C92" s="33" t="s">
        <v>383</v>
      </c>
      <c r="D92" s="33" t="s">
        <v>385</v>
      </c>
      <c r="E92" s="33"/>
      <c r="F92" s="33" t="s">
        <v>386</v>
      </c>
      <c r="G92" s="33" t="s">
        <v>387</v>
      </c>
      <c r="H92" s="33"/>
      <c r="I92" s="26"/>
      <c r="J92" s="26"/>
      <c r="K92" s="26"/>
    </row>
    <row r="93" customFormat="false" ht="40.5" hidden="false" customHeight="true" outlineLevel="0" collapsed="false">
      <c r="A93" s="32" t="n">
        <v>82</v>
      </c>
      <c r="B93" s="33" t="s">
        <v>63</v>
      </c>
      <c r="C93" s="33" t="s">
        <v>388</v>
      </c>
      <c r="D93" s="33" t="s">
        <v>389</v>
      </c>
      <c r="E93" s="33"/>
      <c r="F93" s="33" t="s">
        <v>390</v>
      </c>
      <c r="G93" s="33" t="s">
        <v>391</v>
      </c>
      <c r="H93" s="33"/>
      <c r="I93" s="26"/>
      <c r="J93" s="26"/>
      <c r="K93" s="26"/>
    </row>
    <row r="94" customFormat="false" ht="40.5" hidden="false" customHeight="true" outlineLevel="0" collapsed="false">
      <c r="A94" s="32" t="n">
        <v>83</v>
      </c>
      <c r="B94" s="33" t="s">
        <v>63</v>
      </c>
      <c r="C94" s="33" t="s">
        <v>388</v>
      </c>
      <c r="D94" s="33" t="s">
        <v>392</v>
      </c>
      <c r="E94" s="33" t="s">
        <v>393</v>
      </c>
      <c r="F94" s="33" t="s">
        <v>394</v>
      </c>
      <c r="G94" s="33" t="s">
        <v>395</v>
      </c>
      <c r="H94" s="33"/>
      <c r="I94" s="26"/>
      <c r="J94" s="26"/>
      <c r="K94" s="26"/>
    </row>
    <row r="95" customFormat="false" ht="40.5" hidden="false" customHeight="true" outlineLevel="0" collapsed="false">
      <c r="A95" s="32" t="n">
        <v>84</v>
      </c>
      <c r="B95" s="33" t="s">
        <v>63</v>
      </c>
      <c r="C95" s="33" t="s">
        <v>388</v>
      </c>
      <c r="D95" s="33" t="s">
        <v>396</v>
      </c>
      <c r="E95" s="33" t="s">
        <v>393</v>
      </c>
      <c r="F95" s="33" t="s">
        <v>397</v>
      </c>
      <c r="G95" s="33" t="s">
        <v>398</v>
      </c>
      <c r="H95" s="33"/>
      <c r="I95" s="26"/>
      <c r="J95" s="26"/>
      <c r="K95" s="26"/>
    </row>
    <row r="96" customFormat="false" ht="40.5" hidden="false" customHeight="true" outlineLevel="0" collapsed="false">
      <c r="A96" s="32" t="n">
        <v>85</v>
      </c>
      <c r="B96" s="33" t="s">
        <v>63</v>
      </c>
      <c r="C96" s="33" t="s">
        <v>388</v>
      </c>
      <c r="D96" s="33" t="s">
        <v>399</v>
      </c>
      <c r="E96" s="33" t="s">
        <v>393</v>
      </c>
      <c r="F96" s="33" t="s">
        <v>400</v>
      </c>
      <c r="G96" s="33" t="s">
        <v>401</v>
      </c>
      <c r="H96" s="33" t="s">
        <v>402</v>
      </c>
      <c r="I96" s="26"/>
      <c r="J96" s="26"/>
      <c r="K96" s="26"/>
    </row>
    <row r="97" customFormat="false" ht="40.5" hidden="false" customHeight="true" outlineLevel="0" collapsed="false">
      <c r="A97" s="32" t="n">
        <v>86</v>
      </c>
      <c r="B97" s="33" t="s">
        <v>63</v>
      </c>
      <c r="C97" s="33" t="s">
        <v>388</v>
      </c>
      <c r="D97" s="33" t="s">
        <v>403</v>
      </c>
      <c r="E97" s="33" t="s">
        <v>404</v>
      </c>
      <c r="F97" s="33" t="s">
        <v>405</v>
      </c>
      <c r="G97" s="33" t="s">
        <v>406</v>
      </c>
      <c r="H97" s="33"/>
      <c r="I97" s="26"/>
      <c r="J97" s="26"/>
      <c r="K97" s="26"/>
    </row>
    <row r="98" customFormat="false" ht="40.5" hidden="false" customHeight="true" outlineLevel="0" collapsed="false">
      <c r="A98" s="32" t="n">
        <v>87</v>
      </c>
      <c r="B98" s="33" t="s">
        <v>63</v>
      </c>
      <c r="C98" s="33" t="s">
        <v>388</v>
      </c>
      <c r="D98" s="33" t="s">
        <v>407</v>
      </c>
      <c r="E98" s="33" t="s">
        <v>404</v>
      </c>
      <c r="F98" s="33" t="s">
        <v>408</v>
      </c>
      <c r="G98" s="33" t="s">
        <v>409</v>
      </c>
      <c r="H98" s="33"/>
      <c r="I98" s="26"/>
      <c r="J98" s="26"/>
      <c r="K98" s="26"/>
    </row>
    <row r="99" customFormat="false" ht="40.5" hidden="false" customHeight="true" outlineLevel="0" collapsed="false">
      <c r="A99" s="32" t="n">
        <v>88</v>
      </c>
      <c r="B99" s="33" t="s">
        <v>63</v>
      </c>
      <c r="C99" s="33" t="s">
        <v>388</v>
      </c>
      <c r="D99" s="33" t="s">
        <v>410</v>
      </c>
      <c r="E99" s="33" t="s">
        <v>404</v>
      </c>
      <c r="F99" s="33" t="s">
        <v>411</v>
      </c>
      <c r="G99" s="33" t="s">
        <v>412</v>
      </c>
      <c r="H99" s="33"/>
      <c r="I99" s="26"/>
      <c r="J99" s="26"/>
      <c r="K99" s="26"/>
    </row>
    <row r="100" customFormat="false" ht="54" hidden="false" customHeight="true" outlineLevel="0" collapsed="false">
      <c r="A100" s="32" t="n">
        <v>89</v>
      </c>
      <c r="B100" s="33" t="s">
        <v>63</v>
      </c>
      <c r="C100" s="33" t="s">
        <v>413</v>
      </c>
      <c r="D100" s="33" t="s">
        <v>312</v>
      </c>
      <c r="E100" s="33" t="s">
        <v>414</v>
      </c>
      <c r="F100" s="33" t="s">
        <v>415</v>
      </c>
      <c r="G100" s="34" t="s">
        <v>415</v>
      </c>
      <c r="H100" s="33" t="s">
        <v>416</v>
      </c>
      <c r="I100" s="26"/>
      <c r="J100" s="26"/>
      <c r="K100" s="26"/>
    </row>
    <row r="101" customFormat="false" ht="54" hidden="false" customHeight="true" outlineLevel="0" collapsed="false">
      <c r="A101" s="32" t="n">
        <v>90</v>
      </c>
      <c r="B101" s="33" t="s">
        <v>63</v>
      </c>
      <c r="C101" s="33" t="s">
        <v>413</v>
      </c>
      <c r="D101" s="33" t="s">
        <v>204</v>
      </c>
      <c r="E101" s="33" t="s">
        <v>414</v>
      </c>
      <c r="F101" s="33" t="s">
        <v>417</v>
      </c>
      <c r="G101" s="34" t="s">
        <v>417</v>
      </c>
      <c r="H101" s="33" t="s">
        <v>416</v>
      </c>
      <c r="I101" s="26"/>
      <c r="J101" s="26"/>
      <c r="K101" s="26"/>
    </row>
    <row r="102" customFormat="false" ht="54" hidden="false" customHeight="true" outlineLevel="0" collapsed="false">
      <c r="A102" s="32" t="n">
        <v>91</v>
      </c>
      <c r="B102" s="33" t="s">
        <v>63</v>
      </c>
      <c r="C102" s="33" t="s">
        <v>413</v>
      </c>
      <c r="D102" s="33" t="s">
        <v>312</v>
      </c>
      <c r="E102" s="33" t="s">
        <v>418</v>
      </c>
      <c r="F102" s="33" t="s">
        <v>419</v>
      </c>
      <c r="G102" s="34" t="s">
        <v>419</v>
      </c>
      <c r="H102" s="33" t="s">
        <v>416</v>
      </c>
      <c r="I102" s="26"/>
      <c r="J102" s="26"/>
      <c r="K102" s="26"/>
    </row>
    <row r="103" customFormat="false" ht="54" hidden="false" customHeight="true" outlineLevel="0" collapsed="false">
      <c r="A103" s="32" t="n">
        <v>92</v>
      </c>
      <c r="B103" s="33" t="s">
        <v>63</v>
      </c>
      <c r="C103" s="33" t="s">
        <v>413</v>
      </c>
      <c r="D103" s="33" t="s">
        <v>373</v>
      </c>
      <c r="E103" s="33" t="s">
        <v>418</v>
      </c>
      <c r="F103" s="33" t="s">
        <v>420</v>
      </c>
      <c r="G103" s="34" t="s">
        <v>420</v>
      </c>
      <c r="H103" s="33" t="s">
        <v>416</v>
      </c>
      <c r="I103" s="26"/>
      <c r="J103" s="26"/>
      <c r="K103" s="26"/>
    </row>
    <row r="104" customFormat="false" ht="54" hidden="false" customHeight="true" outlineLevel="0" collapsed="false">
      <c r="A104" s="32" t="n">
        <v>93</v>
      </c>
      <c r="B104" s="33" t="s">
        <v>63</v>
      </c>
      <c r="C104" s="33" t="s">
        <v>413</v>
      </c>
      <c r="D104" s="33" t="s">
        <v>204</v>
      </c>
      <c r="E104" s="33" t="s">
        <v>418</v>
      </c>
      <c r="F104" s="33" t="s">
        <v>417</v>
      </c>
      <c r="G104" s="34" t="s">
        <v>417</v>
      </c>
      <c r="H104" s="33" t="s">
        <v>416</v>
      </c>
      <c r="I104" s="26"/>
      <c r="J104" s="26"/>
      <c r="K104" s="26"/>
    </row>
    <row r="105" customFormat="false" ht="40.5" hidden="false" customHeight="true" outlineLevel="0" collapsed="false">
      <c r="A105" s="24" t="n">
        <v>94</v>
      </c>
      <c r="B105" s="25" t="s">
        <v>64</v>
      </c>
      <c r="C105" s="25"/>
      <c r="D105" s="25" t="s">
        <v>78</v>
      </c>
      <c r="E105" s="25"/>
      <c r="F105" s="25" t="s">
        <v>421</v>
      </c>
      <c r="G105" s="25" t="s">
        <v>422</v>
      </c>
      <c r="H105" s="25"/>
      <c r="I105" s="26"/>
      <c r="J105" s="26"/>
      <c r="K105" s="26"/>
    </row>
    <row r="106" customFormat="false" ht="40.5" hidden="false" customHeight="true" outlineLevel="0" collapsed="false">
      <c r="A106" s="24" t="n">
        <v>95</v>
      </c>
      <c r="B106" s="25" t="s">
        <v>64</v>
      </c>
      <c r="C106" s="25"/>
      <c r="D106" s="25" t="s">
        <v>423</v>
      </c>
      <c r="E106" s="25"/>
      <c r="F106" s="25" t="s">
        <v>424</v>
      </c>
      <c r="G106" s="25" t="s">
        <v>425</v>
      </c>
      <c r="H106" s="25"/>
      <c r="I106" s="26"/>
      <c r="J106" s="26"/>
      <c r="K106" s="26"/>
    </row>
    <row r="107" customFormat="false" ht="40.5" hidden="false" customHeight="true" outlineLevel="0" collapsed="false">
      <c r="A107" s="24" t="n">
        <v>96</v>
      </c>
      <c r="B107" s="25" t="s">
        <v>64</v>
      </c>
      <c r="C107" s="25"/>
      <c r="D107" s="25" t="s">
        <v>312</v>
      </c>
      <c r="E107" s="25"/>
      <c r="F107" s="25" t="s">
        <v>426</v>
      </c>
      <c r="G107" s="25" t="s">
        <v>427</v>
      </c>
      <c r="H107" s="25"/>
      <c r="I107" s="26"/>
      <c r="J107" s="26"/>
      <c r="K107" s="26"/>
    </row>
    <row r="108" customFormat="false" ht="40.5" hidden="false" customHeight="true" outlineLevel="0" collapsed="false">
      <c r="A108" s="27" t="s">
        <v>428</v>
      </c>
      <c r="B108" s="28" t="s">
        <v>64</v>
      </c>
      <c r="C108" s="28"/>
      <c r="D108" s="28" t="s">
        <v>429</v>
      </c>
      <c r="E108" s="28"/>
      <c r="F108" s="28" t="s">
        <v>430</v>
      </c>
      <c r="G108" s="28" t="s">
        <v>431</v>
      </c>
      <c r="H108" s="28" t="s">
        <v>432</v>
      </c>
      <c r="I108" s="28"/>
      <c r="J108" s="28"/>
      <c r="K108" s="26"/>
    </row>
    <row r="109" customFormat="false" ht="40.5" hidden="false" customHeight="true" outlineLevel="0" collapsed="false">
      <c r="A109" s="24" t="n">
        <v>97</v>
      </c>
      <c r="B109" s="25" t="s">
        <v>64</v>
      </c>
      <c r="C109" s="25"/>
      <c r="D109" s="25" t="s">
        <v>337</v>
      </c>
      <c r="E109" s="25"/>
      <c r="F109" s="25" t="s">
        <v>433</v>
      </c>
      <c r="G109" s="25" t="s">
        <v>434</v>
      </c>
      <c r="H109" s="25" t="s">
        <v>435</v>
      </c>
      <c r="I109" s="26"/>
      <c r="J109" s="26"/>
      <c r="K109" s="26"/>
    </row>
    <row r="110" customFormat="false" ht="40.5" hidden="false" customHeight="true" outlineLevel="0" collapsed="false">
      <c r="A110" s="24" t="n">
        <v>98</v>
      </c>
      <c r="B110" s="25" t="s">
        <v>64</v>
      </c>
      <c r="C110" s="25"/>
      <c r="D110" s="25" t="s">
        <v>436</v>
      </c>
      <c r="E110" s="25"/>
      <c r="F110" s="25" t="s">
        <v>367</v>
      </c>
      <c r="G110" s="25" t="s">
        <v>368</v>
      </c>
      <c r="H110" s="25"/>
      <c r="I110" s="26"/>
      <c r="J110" s="26"/>
      <c r="K110" s="26"/>
    </row>
    <row r="111" customFormat="false" ht="40.5" hidden="false" customHeight="true" outlineLevel="0" collapsed="false">
      <c r="A111" s="24" t="n">
        <v>99</v>
      </c>
      <c r="B111" s="25" t="s">
        <v>64</v>
      </c>
      <c r="C111" s="25"/>
      <c r="D111" s="25" t="s">
        <v>437</v>
      </c>
      <c r="E111" s="25"/>
      <c r="F111" s="25" t="s">
        <v>280</v>
      </c>
      <c r="G111" s="25" t="s">
        <v>281</v>
      </c>
      <c r="H111" s="25"/>
      <c r="I111" s="26"/>
      <c r="J111" s="26"/>
      <c r="K111" s="26"/>
    </row>
    <row r="112" customFormat="false" ht="40.5" hidden="false" customHeight="true" outlineLevel="0" collapsed="false">
      <c r="A112" s="24" t="n">
        <v>100</v>
      </c>
      <c r="B112" s="25" t="s">
        <v>64</v>
      </c>
      <c r="C112" s="25"/>
      <c r="D112" s="25" t="s">
        <v>204</v>
      </c>
      <c r="E112" s="25"/>
      <c r="F112" s="25" t="s">
        <v>438</v>
      </c>
      <c r="G112" s="25" t="s">
        <v>439</v>
      </c>
      <c r="H112" s="25"/>
      <c r="I112" s="26"/>
      <c r="J112" s="26"/>
      <c r="K112" s="26"/>
    </row>
    <row r="113" customFormat="false" ht="40.5" hidden="false" customHeight="true" outlineLevel="0" collapsed="false">
      <c r="A113" s="32" t="n">
        <v>101</v>
      </c>
      <c r="B113" s="33" t="s">
        <v>65</v>
      </c>
      <c r="C113" s="33" t="s">
        <v>440</v>
      </c>
      <c r="D113" s="33" t="s">
        <v>78</v>
      </c>
      <c r="E113" s="33"/>
      <c r="F113" s="33" t="s">
        <v>441</v>
      </c>
      <c r="G113" s="33" t="s">
        <v>442</v>
      </c>
      <c r="H113" s="33"/>
      <c r="I113" s="26"/>
      <c r="J113" s="26"/>
      <c r="K113" s="26"/>
    </row>
    <row r="114" customFormat="false" ht="40.5" hidden="false" customHeight="true" outlineLevel="0" collapsed="false">
      <c r="A114" s="32" t="n">
        <v>102</v>
      </c>
      <c r="B114" s="33" t="s">
        <v>65</v>
      </c>
      <c r="C114" s="33" t="s">
        <v>440</v>
      </c>
      <c r="D114" s="33" t="s">
        <v>443</v>
      </c>
      <c r="E114" s="33"/>
      <c r="F114" s="33" t="s">
        <v>444</v>
      </c>
      <c r="G114" s="33" t="s">
        <v>445</v>
      </c>
      <c r="H114" s="33" t="s">
        <v>446</v>
      </c>
      <c r="I114" s="26"/>
      <c r="J114" s="26"/>
      <c r="K114" s="26"/>
    </row>
    <row r="115" customFormat="false" ht="40.5" hidden="false" customHeight="true" outlineLevel="0" collapsed="false">
      <c r="A115" s="32" t="n">
        <v>103</v>
      </c>
      <c r="B115" s="33" t="s">
        <v>65</v>
      </c>
      <c r="C115" s="33" t="s">
        <v>440</v>
      </c>
      <c r="D115" s="33" t="s">
        <v>447</v>
      </c>
      <c r="E115" s="33"/>
      <c r="F115" s="33" t="s">
        <v>448</v>
      </c>
      <c r="G115" s="33" t="s">
        <v>449</v>
      </c>
      <c r="H115" s="33"/>
      <c r="I115" s="26"/>
      <c r="J115" s="26"/>
      <c r="K115" s="26"/>
    </row>
    <row r="116" customFormat="false" ht="40.5" hidden="false" customHeight="true" outlineLevel="0" collapsed="false">
      <c r="A116" s="32" t="n">
        <v>104</v>
      </c>
      <c r="B116" s="33" t="s">
        <v>65</v>
      </c>
      <c r="C116" s="33" t="s">
        <v>440</v>
      </c>
      <c r="D116" s="33" t="s">
        <v>450</v>
      </c>
      <c r="E116" s="33"/>
      <c r="F116" s="33" t="s">
        <v>438</v>
      </c>
      <c r="G116" s="33" t="s">
        <v>439</v>
      </c>
      <c r="H116" s="33"/>
      <c r="I116" s="26"/>
      <c r="J116" s="26"/>
      <c r="K116" s="26"/>
    </row>
    <row r="117" customFormat="false" ht="40.5" hidden="false" customHeight="true" outlineLevel="0" collapsed="false">
      <c r="A117" s="32" t="n">
        <v>105</v>
      </c>
      <c r="B117" s="33" t="s">
        <v>65</v>
      </c>
      <c r="C117" s="33" t="s">
        <v>440</v>
      </c>
      <c r="D117" s="33" t="s">
        <v>451</v>
      </c>
      <c r="E117" s="33"/>
      <c r="F117" s="33" t="s">
        <v>452</v>
      </c>
      <c r="G117" s="33" t="s">
        <v>453</v>
      </c>
      <c r="H117" s="33" t="s">
        <v>454</v>
      </c>
      <c r="I117" s="26"/>
      <c r="J117" s="26"/>
      <c r="K117" s="26"/>
    </row>
    <row r="118" customFormat="false" ht="40.5" hidden="false" customHeight="true" outlineLevel="0" collapsed="false">
      <c r="A118" s="27" t="s">
        <v>455</v>
      </c>
      <c r="B118" s="28" t="s">
        <v>65</v>
      </c>
      <c r="C118" s="28" t="s">
        <v>456</v>
      </c>
      <c r="D118" s="28" t="s">
        <v>457</v>
      </c>
      <c r="E118" s="28" t="s">
        <v>458</v>
      </c>
      <c r="F118" s="28" t="s">
        <v>459</v>
      </c>
      <c r="G118" s="28" t="s">
        <v>460</v>
      </c>
      <c r="H118" s="28" t="s">
        <v>461</v>
      </c>
      <c r="I118" s="28"/>
      <c r="J118" s="28"/>
      <c r="K118" s="26"/>
    </row>
    <row r="119" customFormat="false" ht="40.5" hidden="false" customHeight="true" outlineLevel="0" collapsed="false">
      <c r="A119" s="32" t="n">
        <v>106</v>
      </c>
      <c r="B119" s="33" t="s">
        <v>65</v>
      </c>
      <c r="C119" s="33" t="s">
        <v>456</v>
      </c>
      <c r="D119" s="33" t="s">
        <v>462</v>
      </c>
      <c r="E119" s="33" t="s">
        <v>458</v>
      </c>
      <c r="F119" s="33" t="s">
        <v>463</v>
      </c>
      <c r="G119" s="34" t="s">
        <v>463</v>
      </c>
      <c r="H119" s="33" t="s">
        <v>464</v>
      </c>
      <c r="I119" s="26"/>
      <c r="J119" s="26"/>
      <c r="K119" s="26"/>
    </row>
    <row r="120" customFormat="false" ht="40.5" hidden="false" customHeight="true" outlineLevel="0" collapsed="false">
      <c r="A120" s="32" t="n">
        <v>107</v>
      </c>
      <c r="B120" s="33" t="s">
        <v>65</v>
      </c>
      <c r="C120" s="33" t="s">
        <v>456</v>
      </c>
      <c r="D120" s="33" t="s">
        <v>465</v>
      </c>
      <c r="E120" s="33" t="s">
        <v>458</v>
      </c>
      <c r="F120" s="33" t="s">
        <v>466</v>
      </c>
      <c r="G120" s="33" t="s">
        <v>467</v>
      </c>
      <c r="H120" s="33"/>
      <c r="I120" s="26"/>
      <c r="J120" s="26"/>
      <c r="K120" s="26"/>
    </row>
    <row r="121" customFormat="false" ht="40.5" hidden="false" customHeight="true" outlineLevel="0" collapsed="false">
      <c r="A121" s="27" t="s">
        <v>468</v>
      </c>
      <c r="B121" s="28" t="s">
        <v>65</v>
      </c>
      <c r="C121" s="28" t="s">
        <v>456</v>
      </c>
      <c r="D121" s="28" t="s">
        <v>469</v>
      </c>
      <c r="E121" s="28" t="s">
        <v>470</v>
      </c>
      <c r="F121" s="28" t="s">
        <v>471</v>
      </c>
      <c r="G121" s="28" t="s">
        <v>472</v>
      </c>
      <c r="H121" s="28" t="s">
        <v>461</v>
      </c>
      <c r="I121" s="28"/>
      <c r="J121" s="28"/>
      <c r="K121" s="26"/>
    </row>
    <row r="122" customFormat="false" ht="40.5" hidden="false" customHeight="true" outlineLevel="0" collapsed="false">
      <c r="A122" s="32" t="n">
        <v>108</v>
      </c>
      <c r="B122" s="33" t="s">
        <v>65</v>
      </c>
      <c r="C122" s="33" t="s">
        <v>456</v>
      </c>
      <c r="D122" s="33" t="s">
        <v>462</v>
      </c>
      <c r="E122" s="33" t="s">
        <v>470</v>
      </c>
      <c r="F122" s="33" t="s">
        <v>473</v>
      </c>
      <c r="G122" s="34" t="s">
        <v>473</v>
      </c>
      <c r="H122" s="33" t="s">
        <v>464</v>
      </c>
      <c r="I122" s="26"/>
      <c r="J122" s="26"/>
      <c r="K122" s="26"/>
    </row>
    <row r="123" customFormat="false" ht="40.5" hidden="false" customHeight="true" outlineLevel="0" collapsed="false">
      <c r="A123" s="32" t="n">
        <v>109</v>
      </c>
      <c r="B123" s="33" t="s">
        <v>65</v>
      </c>
      <c r="C123" s="33" t="s">
        <v>456</v>
      </c>
      <c r="D123" s="33" t="s">
        <v>465</v>
      </c>
      <c r="E123" s="33" t="s">
        <v>470</v>
      </c>
      <c r="F123" s="33" t="s">
        <v>474</v>
      </c>
      <c r="G123" s="33" t="s">
        <v>475</v>
      </c>
      <c r="H123" s="33"/>
      <c r="I123" s="26"/>
      <c r="J123" s="26"/>
      <c r="K123" s="26"/>
    </row>
    <row r="124" customFormat="false" ht="40.5" hidden="false" customHeight="true" outlineLevel="0" collapsed="false">
      <c r="A124" s="27" t="s">
        <v>476</v>
      </c>
      <c r="B124" s="28" t="s">
        <v>65</v>
      </c>
      <c r="C124" s="28" t="s">
        <v>456</v>
      </c>
      <c r="D124" s="28" t="s">
        <v>477</v>
      </c>
      <c r="E124" s="28" t="s">
        <v>478</v>
      </c>
      <c r="F124" s="28" t="s">
        <v>479</v>
      </c>
      <c r="G124" s="28" t="s">
        <v>480</v>
      </c>
      <c r="H124" s="28" t="s">
        <v>461</v>
      </c>
      <c r="I124" s="28"/>
      <c r="J124" s="28"/>
      <c r="K124" s="26"/>
    </row>
    <row r="125" customFormat="false" ht="40.5" hidden="false" customHeight="true" outlineLevel="0" collapsed="false">
      <c r="A125" s="32" t="n">
        <v>110</v>
      </c>
      <c r="B125" s="33" t="s">
        <v>65</v>
      </c>
      <c r="C125" s="33" t="s">
        <v>456</v>
      </c>
      <c r="D125" s="33" t="s">
        <v>462</v>
      </c>
      <c r="E125" s="33" t="s">
        <v>478</v>
      </c>
      <c r="F125" s="33" t="s">
        <v>481</v>
      </c>
      <c r="G125" s="34" t="s">
        <v>481</v>
      </c>
      <c r="H125" s="33" t="s">
        <v>464</v>
      </c>
      <c r="I125" s="26"/>
      <c r="J125" s="26"/>
      <c r="K125" s="26"/>
    </row>
    <row r="126" customFormat="false" ht="40.5" hidden="false" customHeight="true" outlineLevel="0" collapsed="false">
      <c r="A126" s="32" t="n">
        <v>111</v>
      </c>
      <c r="B126" s="33" t="s">
        <v>65</v>
      </c>
      <c r="C126" s="33" t="s">
        <v>456</v>
      </c>
      <c r="D126" s="33" t="s">
        <v>465</v>
      </c>
      <c r="E126" s="33" t="s">
        <v>478</v>
      </c>
      <c r="F126" s="33" t="s">
        <v>482</v>
      </c>
      <c r="G126" s="33" t="s">
        <v>483</v>
      </c>
      <c r="H126" s="33"/>
      <c r="I126" s="26"/>
      <c r="J126" s="26"/>
      <c r="K126" s="26"/>
    </row>
    <row r="127" customFormat="false" ht="54" hidden="false" customHeight="true" outlineLevel="0" collapsed="false">
      <c r="A127" s="27" t="s">
        <v>484</v>
      </c>
      <c r="B127" s="28" t="s">
        <v>65</v>
      </c>
      <c r="C127" s="28" t="s">
        <v>456</v>
      </c>
      <c r="D127" s="28" t="s">
        <v>485</v>
      </c>
      <c r="E127" s="28" t="s">
        <v>486</v>
      </c>
      <c r="F127" s="28" t="s">
        <v>487</v>
      </c>
      <c r="G127" s="28" t="s">
        <v>488</v>
      </c>
      <c r="H127" s="28" t="s">
        <v>461</v>
      </c>
      <c r="I127" s="28"/>
      <c r="J127" s="28"/>
      <c r="K127" s="26"/>
    </row>
    <row r="128" customFormat="false" ht="54" hidden="false" customHeight="true" outlineLevel="0" collapsed="false">
      <c r="A128" s="32" t="n">
        <v>112</v>
      </c>
      <c r="B128" s="33" t="s">
        <v>65</v>
      </c>
      <c r="C128" s="33" t="s">
        <v>456</v>
      </c>
      <c r="D128" s="33" t="s">
        <v>462</v>
      </c>
      <c r="E128" s="33" t="s">
        <v>486</v>
      </c>
      <c r="F128" s="33" t="s">
        <v>489</v>
      </c>
      <c r="G128" s="34" t="s">
        <v>489</v>
      </c>
      <c r="H128" s="33" t="s">
        <v>464</v>
      </c>
      <c r="I128" s="26"/>
      <c r="J128" s="26"/>
      <c r="K128" s="26"/>
    </row>
    <row r="129" customFormat="false" ht="54" hidden="false" customHeight="true" outlineLevel="0" collapsed="false">
      <c r="A129" s="32" t="n">
        <v>113</v>
      </c>
      <c r="B129" s="33" t="s">
        <v>65</v>
      </c>
      <c r="C129" s="33" t="s">
        <v>456</v>
      </c>
      <c r="D129" s="33" t="s">
        <v>465</v>
      </c>
      <c r="E129" s="33" t="s">
        <v>486</v>
      </c>
      <c r="F129" s="33" t="s">
        <v>490</v>
      </c>
      <c r="G129" s="33" t="s">
        <v>491</v>
      </c>
      <c r="H129" s="33"/>
      <c r="I129" s="26"/>
      <c r="J129" s="26"/>
      <c r="K129" s="26"/>
    </row>
    <row r="130" customFormat="false" ht="40.5" hidden="false" customHeight="true" outlineLevel="0" collapsed="false">
      <c r="A130" s="32" t="n">
        <v>114</v>
      </c>
      <c r="B130" s="33" t="s">
        <v>65</v>
      </c>
      <c r="C130" s="33" t="s">
        <v>492</v>
      </c>
      <c r="D130" s="33" t="s">
        <v>493</v>
      </c>
      <c r="E130" s="33"/>
      <c r="F130" s="33" t="s">
        <v>494</v>
      </c>
      <c r="G130" s="33" t="s">
        <v>495</v>
      </c>
      <c r="H130" s="33"/>
      <c r="I130" s="26"/>
      <c r="J130" s="26"/>
      <c r="K130" s="26"/>
    </row>
    <row r="131" customFormat="false" ht="40.5" hidden="false" customHeight="true" outlineLevel="0" collapsed="false">
      <c r="A131" s="32" t="n">
        <v>115</v>
      </c>
      <c r="B131" s="33" t="s">
        <v>65</v>
      </c>
      <c r="C131" s="33" t="s">
        <v>492</v>
      </c>
      <c r="D131" s="33" t="s">
        <v>496</v>
      </c>
      <c r="E131" s="33"/>
      <c r="F131" s="33" t="s">
        <v>497</v>
      </c>
      <c r="G131" s="33" t="s">
        <v>498</v>
      </c>
      <c r="H131" s="33"/>
      <c r="I131" s="26"/>
      <c r="J131" s="26"/>
      <c r="K131" s="26"/>
    </row>
    <row r="132" customFormat="false" ht="40.5" hidden="false" customHeight="true" outlineLevel="0" collapsed="false">
      <c r="A132" s="32" t="n">
        <v>116</v>
      </c>
      <c r="B132" s="33" t="s">
        <v>65</v>
      </c>
      <c r="C132" s="33" t="s">
        <v>492</v>
      </c>
      <c r="D132" s="33" t="s">
        <v>496</v>
      </c>
      <c r="E132" s="33"/>
      <c r="F132" s="33" t="s">
        <v>499</v>
      </c>
      <c r="G132" s="33" t="s">
        <v>500</v>
      </c>
      <c r="H132" s="33"/>
      <c r="I132" s="26"/>
      <c r="J132" s="26"/>
      <c r="K132" s="26"/>
    </row>
    <row r="133" customFormat="false" ht="40.5" hidden="false" customHeight="true" outlineLevel="0" collapsed="false">
      <c r="A133" s="32" t="n">
        <v>117</v>
      </c>
      <c r="B133" s="33" t="s">
        <v>65</v>
      </c>
      <c r="C133" s="33" t="s">
        <v>492</v>
      </c>
      <c r="D133" s="33" t="s">
        <v>496</v>
      </c>
      <c r="E133" s="33"/>
      <c r="F133" s="33" t="s">
        <v>501</v>
      </c>
      <c r="G133" s="33" t="s">
        <v>502</v>
      </c>
      <c r="H133" s="33"/>
      <c r="I133" s="26"/>
      <c r="J133" s="26"/>
      <c r="K133" s="26"/>
    </row>
    <row r="134" customFormat="false" ht="40.5" hidden="false" customHeight="true" outlineLevel="0" collapsed="false">
      <c r="A134" s="32" t="n">
        <v>118</v>
      </c>
      <c r="B134" s="33" t="s">
        <v>65</v>
      </c>
      <c r="C134" s="33" t="s">
        <v>492</v>
      </c>
      <c r="D134" s="33" t="s">
        <v>496</v>
      </c>
      <c r="E134" s="33"/>
      <c r="F134" s="33" t="s">
        <v>503</v>
      </c>
      <c r="G134" s="33" t="s">
        <v>504</v>
      </c>
      <c r="H134" s="33"/>
      <c r="I134" s="26"/>
      <c r="J134" s="26"/>
      <c r="K134" s="26"/>
    </row>
    <row r="135" customFormat="false" ht="40.5" hidden="false" customHeight="true" outlineLevel="0" collapsed="false">
      <c r="A135" s="32" t="n">
        <v>119</v>
      </c>
      <c r="B135" s="33" t="s">
        <v>65</v>
      </c>
      <c r="C135" s="33" t="s">
        <v>492</v>
      </c>
      <c r="D135" s="33" t="s">
        <v>496</v>
      </c>
      <c r="E135" s="33"/>
      <c r="F135" s="33" t="s">
        <v>505</v>
      </c>
      <c r="G135" s="33" t="s">
        <v>506</v>
      </c>
      <c r="H135" s="33"/>
      <c r="I135" s="26"/>
      <c r="J135" s="26"/>
      <c r="K135" s="26"/>
    </row>
    <row r="136" customFormat="false" ht="40.5" hidden="false" customHeight="true" outlineLevel="0" collapsed="false">
      <c r="A136" s="32" t="n">
        <v>120</v>
      </c>
      <c r="B136" s="33" t="s">
        <v>65</v>
      </c>
      <c r="C136" s="33" t="s">
        <v>492</v>
      </c>
      <c r="D136" s="33" t="s">
        <v>493</v>
      </c>
      <c r="E136" s="33"/>
      <c r="F136" s="33" t="s">
        <v>507</v>
      </c>
      <c r="G136" s="33" t="s">
        <v>508</v>
      </c>
      <c r="H136" s="33"/>
      <c r="I136" s="26"/>
      <c r="J136" s="26"/>
      <c r="K136" s="26"/>
    </row>
    <row r="137" customFormat="false" ht="40.5" hidden="false" customHeight="true" outlineLevel="0" collapsed="false">
      <c r="A137" s="32" t="n">
        <v>121</v>
      </c>
      <c r="B137" s="33" t="s">
        <v>65</v>
      </c>
      <c r="C137" s="33" t="s">
        <v>492</v>
      </c>
      <c r="D137" s="33" t="s">
        <v>496</v>
      </c>
      <c r="E137" s="33"/>
      <c r="F137" s="33" t="s">
        <v>509</v>
      </c>
      <c r="G137" s="33" t="s">
        <v>510</v>
      </c>
      <c r="H137" s="33"/>
      <c r="I137" s="26"/>
      <c r="J137" s="26"/>
      <c r="K137" s="26"/>
    </row>
    <row r="138" customFormat="false" ht="40.5" hidden="false" customHeight="true" outlineLevel="0" collapsed="false">
      <c r="A138" s="32" t="n">
        <v>122</v>
      </c>
      <c r="B138" s="33" t="s">
        <v>65</v>
      </c>
      <c r="C138" s="33" t="s">
        <v>492</v>
      </c>
      <c r="D138" s="33" t="s">
        <v>496</v>
      </c>
      <c r="E138" s="33"/>
      <c r="F138" s="33" t="s">
        <v>511</v>
      </c>
      <c r="G138" s="33" t="s">
        <v>512</v>
      </c>
      <c r="H138" s="33"/>
      <c r="I138" s="26"/>
      <c r="J138" s="26"/>
      <c r="K138" s="26"/>
    </row>
    <row r="139" customFormat="false" ht="40.5" hidden="false" customHeight="true" outlineLevel="0" collapsed="false">
      <c r="A139" s="32" t="n">
        <v>123</v>
      </c>
      <c r="B139" s="33" t="s">
        <v>65</v>
      </c>
      <c r="C139" s="33" t="s">
        <v>492</v>
      </c>
      <c r="D139" s="33" t="s">
        <v>493</v>
      </c>
      <c r="E139" s="33" t="s">
        <v>513</v>
      </c>
      <c r="F139" s="33" t="s">
        <v>514</v>
      </c>
      <c r="G139" s="33" t="s">
        <v>515</v>
      </c>
      <c r="H139" s="33"/>
      <c r="I139" s="26"/>
      <c r="J139" s="26"/>
      <c r="K139" s="26"/>
    </row>
    <row r="140" customFormat="false" ht="40.5" hidden="false" customHeight="true" outlineLevel="0" collapsed="false">
      <c r="A140" s="32" t="n">
        <v>124</v>
      </c>
      <c r="B140" s="33" t="s">
        <v>65</v>
      </c>
      <c r="C140" s="33" t="s">
        <v>492</v>
      </c>
      <c r="D140" s="33" t="s">
        <v>496</v>
      </c>
      <c r="E140" s="33" t="s">
        <v>513</v>
      </c>
      <c r="F140" s="33" t="s">
        <v>516</v>
      </c>
      <c r="G140" s="33" t="s">
        <v>517</v>
      </c>
      <c r="H140" s="33"/>
      <c r="I140" s="26"/>
      <c r="J140" s="26"/>
      <c r="K140" s="26"/>
    </row>
    <row r="141" customFormat="false" ht="40.5" hidden="false" customHeight="true" outlineLevel="0" collapsed="false">
      <c r="A141" s="32" t="n">
        <v>125</v>
      </c>
      <c r="B141" s="33" t="s">
        <v>65</v>
      </c>
      <c r="C141" s="33" t="s">
        <v>492</v>
      </c>
      <c r="D141" s="33" t="s">
        <v>496</v>
      </c>
      <c r="E141" s="33" t="s">
        <v>513</v>
      </c>
      <c r="F141" s="33" t="s">
        <v>518</v>
      </c>
      <c r="G141" s="33" t="s">
        <v>519</v>
      </c>
      <c r="H141" s="33"/>
      <c r="I141" s="26"/>
      <c r="J141" s="26"/>
      <c r="K141" s="26"/>
    </row>
    <row r="142" customFormat="false" ht="40.5" hidden="false" customHeight="true" outlineLevel="0" collapsed="false">
      <c r="A142" s="32" t="n">
        <v>126</v>
      </c>
      <c r="B142" s="33" t="s">
        <v>65</v>
      </c>
      <c r="C142" s="33" t="s">
        <v>492</v>
      </c>
      <c r="D142" s="33" t="s">
        <v>493</v>
      </c>
      <c r="E142" s="33"/>
      <c r="F142" s="33" t="s">
        <v>520</v>
      </c>
      <c r="G142" s="33" t="s">
        <v>521</v>
      </c>
      <c r="H142" s="33"/>
      <c r="I142" s="26"/>
      <c r="J142" s="26"/>
      <c r="K142" s="26"/>
    </row>
    <row r="143" customFormat="false" ht="40.5" hidden="false" customHeight="true" outlineLevel="0" collapsed="false">
      <c r="A143" s="32" t="n">
        <v>127</v>
      </c>
      <c r="B143" s="33" t="s">
        <v>65</v>
      </c>
      <c r="C143" s="33" t="s">
        <v>492</v>
      </c>
      <c r="D143" s="33" t="s">
        <v>496</v>
      </c>
      <c r="E143" s="33"/>
      <c r="F143" s="33" t="s">
        <v>522</v>
      </c>
      <c r="G143" s="33" t="s">
        <v>523</v>
      </c>
      <c r="H143" s="33"/>
      <c r="I143" s="26"/>
      <c r="J143" s="26"/>
      <c r="K143" s="26"/>
    </row>
    <row r="144" customFormat="false" ht="40.5" hidden="false" customHeight="true" outlineLevel="0" collapsed="false">
      <c r="A144" s="32" t="n">
        <v>128</v>
      </c>
      <c r="B144" s="33" t="s">
        <v>65</v>
      </c>
      <c r="C144" s="33" t="s">
        <v>492</v>
      </c>
      <c r="D144" s="33" t="s">
        <v>496</v>
      </c>
      <c r="E144" s="33"/>
      <c r="F144" s="33" t="s">
        <v>524</v>
      </c>
      <c r="G144" s="33" t="s">
        <v>525</v>
      </c>
      <c r="H144" s="33"/>
      <c r="I144" s="26"/>
      <c r="J144" s="26"/>
      <c r="K144" s="26"/>
    </row>
    <row r="145" customFormat="false" ht="40.5" hidden="false" customHeight="true" outlineLevel="0" collapsed="false">
      <c r="A145" s="32" t="n">
        <v>129</v>
      </c>
      <c r="B145" s="33" t="s">
        <v>65</v>
      </c>
      <c r="C145" s="33" t="s">
        <v>492</v>
      </c>
      <c r="D145" s="33" t="s">
        <v>496</v>
      </c>
      <c r="E145" s="33"/>
      <c r="F145" s="33" t="s">
        <v>518</v>
      </c>
      <c r="G145" s="33" t="s">
        <v>519</v>
      </c>
      <c r="H145" s="33"/>
      <c r="I145" s="26"/>
      <c r="J145" s="26"/>
      <c r="K145" s="26"/>
    </row>
    <row r="146" customFormat="false" ht="40.5" hidden="false" customHeight="true" outlineLevel="0" collapsed="false">
      <c r="A146" s="32" t="n">
        <v>130</v>
      </c>
      <c r="B146" s="33" t="s">
        <v>65</v>
      </c>
      <c r="C146" s="33" t="s">
        <v>492</v>
      </c>
      <c r="D146" s="33" t="s">
        <v>496</v>
      </c>
      <c r="E146" s="33"/>
      <c r="F146" s="33" t="s">
        <v>526</v>
      </c>
      <c r="G146" s="33" t="s">
        <v>527</v>
      </c>
      <c r="H146" s="33"/>
      <c r="I146" s="26"/>
      <c r="J146" s="26"/>
      <c r="K146" s="26"/>
    </row>
    <row r="147" customFormat="false" ht="40.5" hidden="false" customHeight="true" outlineLevel="0" collapsed="false">
      <c r="A147" s="32" t="n">
        <v>131</v>
      </c>
      <c r="B147" s="33" t="s">
        <v>65</v>
      </c>
      <c r="C147" s="33" t="s">
        <v>528</v>
      </c>
      <c r="D147" s="33" t="s">
        <v>529</v>
      </c>
      <c r="E147" s="33"/>
      <c r="F147" s="33" t="s">
        <v>530</v>
      </c>
      <c r="G147" s="33" t="s">
        <v>531</v>
      </c>
      <c r="H147" s="33"/>
      <c r="I147" s="26"/>
      <c r="J147" s="26"/>
      <c r="K147" s="26"/>
    </row>
    <row r="148" customFormat="false" ht="40.5" hidden="false" customHeight="true" outlineLevel="0" collapsed="false">
      <c r="A148" s="32" t="n">
        <v>132</v>
      </c>
      <c r="B148" s="33" t="s">
        <v>65</v>
      </c>
      <c r="C148" s="33" t="s">
        <v>528</v>
      </c>
      <c r="D148" s="33" t="s">
        <v>532</v>
      </c>
      <c r="E148" s="33"/>
      <c r="F148" s="33" t="s">
        <v>533</v>
      </c>
      <c r="G148" s="33" t="s">
        <v>534</v>
      </c>
      <c r="H148" s="33"/>
      <c r="I148" s="26"/>
      <c r="J148" s="26"/>
      <c r="K148" s="26"/>
    </row>
    <row r="149" customFormat="false" ht="40.5" hidden="false" customHeight="true" outlineLevel="0" collapsed="false">
      <c r="A149" s="32" t="n">
        <v>133</v>
      </c>
      <c r="B149" s="33" t="s">
        <v>65</v>
      </c>
      <c r="C149" s="33" t="s">
        <v>528</v>
      </c>
      <c r="D149" s="33" t="s">
        <v>535</v>
      </c>
      <c r="E149" s="33"/>
      <c r="F149" s="33" t="s">
        <v>536</v>
      </c>
      <c r="G149" s="33" t="s">
        <v>537</v>
      </c>
      <c r="H149" s="33"/>
      <c r="I149" s="26"/>
      <c r="J149" s="26"/>
      <c r="K149" s="26"/>
    </row>
    <row r="150" customFormat="false" ht="40.5" hidden="false" customHeight="true" outlineLevel="0" collapsed="false">
      <c r="A150" s="32" t="n">
        <v>134</v>
      </c>
      <c r="B150" s="33" t="s">
        <v>65</v>
      </c>
      <c r="C150" s="33" t="s">
        <v>528</v>
      </c>
      <c r="D150" s="33" t="s">
        <v>496</v>
      </c>
      <c r="E150" s="33"/>
      <c r="F150" s="33" t="s">
        <v>516</v>
      </c>
      <c r="G150" s="33" t="s">
        <v>517</v>
      </c>
      <c r="H150" s="33"/>
      <c r="I150" s="26"/>
      <c r="J150" s="26"/>
      <c r="K150" s="26"/>
    </row>
    <row r="151" customFormat="false" ht="40.5" hidden="false" customHeight="true" outlineLevel="0" collapsed="false">
      <c r="A151" s="32" t="n">
        <v>135</v>
      </c>
      <c r="B151" s="33" t="s">
        <v>65</v>
      </c>
      <c r="C151" s="33" t="s">
        <v>528</v>
      </c>
      <c r="D151" s="33" t="s">
        <v>496</v>
      </c>
      <c r="E151" s="33"/>
      <c r="F151" s="33" t="s">
        <v>518</v>
      </c>
      <c r="G151" s="33" t="s">
        <v>519</v>
      </c>
      <c r="H151" s="33"/>
      <c r="I151" s="26"/>
      <c r="J151" s="26"/>
      <c r="K151" s="26"/>
    </row>
    <row r="152" customFormat="false" ht="40.5" hidden="false" customHeight="true" outlineLevel="0" collapsed="false">
      <c r="A152" s="32" t="n">
        <v>136</v>
      </c>
      <c r="B152" s="33" t="s">
        <v>65</v>
      </c>
      <c r="C152" s="33" t="s">
        <v>528</v>
      </c>
      <c r="D152" s="33" t="s">
        <v>496</v>
      </c>
      <c r="E152" s="33"/>
      <c r="F152" s="33" t="s">
        <v>538</v>
      </c>
      <c r="G152" s="33" t="s">
        <v>539</v>
      </c>
      <c r="H152" s="33"/>
      <c r="I152" s="26"/>
      <c r="J152" s="26"/>
      <c r="K152" s="26"/>
    </row>
    <row r="153" customFormat="false" ht="40.5" hidden="false" customHeight="true" outlineLevel="0" collapsed="false">
      <c r="A153" s="32" t="n">
        <v>137</v>
      </c>
      <c r="B153" s="33" t="s">
        <v>65</v>
      </c>
      <c r="C153" s="33" t="s">
        <v>528</v>
      </c>
      <c r="D153" s="33" t="s">
        <v>535</v>
      </c>
      <c r="E153" s="33"/>
      <c r="F153" s="33" t="s">
        <v>540</v>
      </c>
      <c r="G153" s="33" t="s">
        <v>541</v>
      </c>
      <c r="H153" s="33"/>
      <c r="I153" s="26"/>
      <c r="J153" s="26"/>
      <c r="K153" s="26"/>
    </row>
    <row r="154" customFormat="false" ht="40.5" hidden="false" customHeight="true" outlineLevel="0" collapsed="false">
      <c r="A154" s="32" t="n">
        <v>138</v>
      </c>
      <c r="B154" s="33" t="s">
        <v>65</v>
      </c>
      <c r="C154" s="33" t="s">
        <v>528</v>
      </c>
      <c r="D154" s="33" t="s">
        <v>496</v>
      </c>
      <c r="E154" s="33"/>
      <c r="F154" s="33" t="s">
        <v>516</v>
      </c>
      <c r="G154" s="33" t="s">
        <v>517</v>
      </c>
      <c r="H154" s="33"/>
      <c r="I154" s="26"/>
      <c r="J154" s="26"/>
      <c r="K154" s="26"/>
    </row>
    <row r="155" customFormat="false" ht="40.5" hidden="false" customHeight="true" outlineLevel="0" collapsed="false">
      <c r="A155" s="32" t="n">
        <v>139</v>
      </c>
      <c r="B155" s="33" t="s">
        <v>65</v>
      </c>
      <c r="C155" s="33" t="s">
        <v>528</v>
      </c>
      <c r="D155" s="33" t="s">
        <v>496</v>
      </c>
      <c r="E155" s="33"/>
      <c r="F155" s="33" t="s">
        <v>518</v>
      </c>
      <c r="G155" s="33" t="s">
        <v>519</v>
      </c>
      <c r="H155" s="33"/>
      <c r="I155" s="26"/>
      <c r="J155" s="26"/>
      <c r="K155" s="26"/>
    </row>
    <row r="156" customFormat="false" ht="40.5" hidden="false" customHeight="true" outlineLevel="0" collapsed="false">
      <c r="A156" s="32" t="n">
        <v>140</v>
      </c>
      <c r="B156" s="33" t="s">
        <v>65</v>
      </c>
      <c r="C156" s="33" t="s">
        <v>528</v>
      </c>
      <c r="D156" s="33" t="s">
        <v>496</v>
      </c>
      <c r="E156" s="33"/>
      <c r="F156" s="33" t="s">
        <v>538</v>
      </c>
      <c r="G156" s="33" t="s">
        <v>539</v>
      </c>
      <c r="H156" s="33"/>
      <c r="I156" s="26"/>
      <c r="J156" s="26"/>
      <c r="K156" s="26"/>
    </row>
    <row r="157" customFormat="false" ht="40.5" hidden="false" customHeight="true" outlineLevel="0" collapsed="false">
      <c r="A157" s="32" t="n">
        <v>141</v>
      </c>
      <c r="B157" s="33" t="s">
        <v>65</v>
      </c>
      <c r="C157" s="33" t="s">
        <v>528</v>
      </c>
      <c r="D157" s="33" t="s">
        <v>535</v>
      </c>
      <c r="E157" s="33"/>
      <c r="F157" s="33" t="s">
        <v>542</v>
      </c>
      <c r="G157" s="33" t="s">
        <v>543</v>
      </c>
      <c r="H157" s="33"/>
      <c r="I157" s="26"/>
      <c r="J157" s="26"/>
      <c r="K157" s="26"/>
    </row>
    <row r="158" customFormat="false" ht="40.5" hidden="false" customHeight="true" outlineLevel="0" collapsed="false">
      <c r="A158" s="32" t="n">
        <v>142</v>
      </c>
      <c r="B158" s="33" t="s">
        <v>65</v>
      </c>
      <c r="C158" s="33" t="s">
        <v>528</v>
      </c>
      <c r="D158" s="33" t="s">
        <v>496</v>
      </c>
      <c r="E158" s="33"/>
      <c r="F158" s="33" t="s">
        <v>516</v>
      </c>
      <c r="G158" s="33" t="s">
        <v>517</v>
      </c>
      <c r="H158" s="33"/>
      <c r="I158" s="26"/>
      <c r="J158" s="26"/>
      <c r="K158" s="26"/>
    </row>
    <row r="159" customFormat="false" ht="40.5" hidden="false" customHeight="true" outlineLevel="0" collapsed="false">
      <c r="A159" s="32" t="n">
        <v>143</v>
      </c>
      <c r="B159" s="33" t="s">
        <v>65</v>
      </c>
      <c r="C159" s="33" t="s">
        <v>528</v>
      </c>
      <c r="D159" s="33" t="s">
        <v>496</v>
      </c>
      <c r="E159" s="33"/>
      <c r="F159" s="33" t="s">
        <v>518</v>
      </c>
      <c r="G159" s="33" t="s">
        <v>519</v>
      </c>
      <c r="H159" s="33"/>
      <c r="I159" s="26"/>
      <c r="J159" s="26"/>
      <c r="K159" s="26"/>
    </row>
    <row r="160" customFormat="false" ht="40.5" hidden="false" customHeight="true" outlineLevel="0" collapsed="false">
      <c r="A160" s="32" t="n">
        <v>144</v>
      </c>
      <c r="B160" s="33" t="s">
        <v>65</v>
      </c>
      <c r="C160" s="33" t="s">
        <v>528</v>
      </c>
      <c r="D160" s="33" t="s">
        <v>496</v>
      </c>
      <c r="E160" s="33"/>
      <c r="F160" s="33" t="s">
        <v>538</v>
      </c>
      <c r="G160" s="33" t="s">
        <v>539</v>
      </c>
      <c r="H160" s="33"/>
      <c r="I160" s="26"/>
      <c r="J160" s="26"/>
      <c r="K160" s="26"/>
    </row>
    <row r="161" customFormat="false" ht="40.5" hidden="false" customHeight="true" outlineLevel="0" collapsed="false">
      <c r="A161" s="32" t="n">
        <v>145</v>
      </c>
      <c r="B161" s="33" t="s">
        <v>65</v>
      </c>
      <c r="C161" s="33" t="s">
        <v>528</v>
      </c>
      <c r="D161" s="33" t="s">
        <v>535</v>
      </c>
      <c r="E161" s="33"/>
      <c r="F161" s="33" t="s">
        <v>544</v>
      </c>
      <c r="G161" s="33" t="s">
        <v>545</v>
      </c>
      <c r="H161" s="33"/>
      <c r="I161" s="26"/>
      <c r="J161" s="26"/>
      <c r="K161" s="26"/>
    </row>
    <row r="162" customFormat="false" ht="40.5" hidden="false" customHeight="true" outlineLevel="0" collapsed="false">
      <c r="A162" s="32" t="n">
        <v>146</v>
      </c>
      <c r="B162" s="33" t="s">
        <v>65</v>
      </c>
      <c r="C162" s="33" t="s">
        <v>528</v>
      </c>
      <c r="D162" s="33" t="s">
        <v>546</v>
      </c>
      <c r="E162" s="33"/>
      <c r="F162" s="33" t="s">
        <v>547</v>
      </c>
      <c r="G162" s="33" t="s">
        <v>548</v>
      </c>
      <c r="H162" s="33"/>
      <c r="I162" s="26"/>
      <c r="J162" s="26"/>
      <c r="K162" s="26"/>
    </row>
    <row r="163" customFormat="false" ht="40.5" hidden="false" customHeight="true" outlineLevel="0" collapsed="false">
      <c r="A163" s="32" t="n">
        <v>147</v>
      </c>
      <c r="B163" s="33" t="s">
        <v>65</v>
      </c>
      <c r="C163" s="33" t="s">
        <v>528</v>
      </c>
      <c r="D163" s="33" t="s">
        <v>496</v>
      </c>
      <c r="E163" s="33"/>
      <c r="F163" s="33" t="s">
        <v>516</v>
      </c>
      <c r="G163" s="33" t="s">
        <v>517</v>
      </c>
      <c r="H163" s="33"/>
      <c r="I163" s="26"/>
      <c r="J163" s="26"/>
      <c r="K163" s="26"/>
    </row>
    <row r="164" customFormat="false" ht="40.5" hidden="false" customHeight="true" outlineLevel="0" collapsed="false">
      <c r="A164" s="32" t="n">
        <v>148</v>
      </c>
      <c r="B164" s="33" t="s">
        <v>65</v>
      </c>
      <c r="C164" s="33" t="s">
        <v>528</v>
      </c>
      <c r="D164" s="33" t="s">
        <v>496</v>
      </c>
      <c r="E164" s="33"/>
      <c r="F164" s="33" t="s">
        <v>518</v>
      </c>
      <c r="G164" s="33" t="s">
        <v>519</v>
      </c>
      <c r="H164" s="33"/>
      <c r="I164" s="26"/>
      <c r="J164" s="26"/>
      <c r="K164" s="26"/>
    </row>
    <row r="165" customFormat="false" ht="40.5" hidden="false" customHeight="true" outlineLevel="0" collapsed="false">
      <c r="A165" s="32" t="n">
        <v>149</v>
      </c>
      <c r="B165" s="33" t="s">
        <v>65</v>
      </c>
      <c r="C165" s="33" t="s">
        <v>528</v>
      </c>
      <c r="D165" s="33" t="s">
        <v>496</v>
      </c>
      <c r="E165" s="33"/>
      <c r="F165" s="33" t="s">
        <v>538</v>
      </c>
      <c r="G165" s="33" t="s">
        <v>539</v>
      </c>
      <c r="H165" s="33"/>
      <c r="I165" s="26"/>
      <c r="J165" s="26"/>
      <c r="K165" s="26"/>
    </row>
    <row r="166" customFormat="false" ht="40.5" hidden="false" customHeight="true" outlineLevel="0" collapsed="false">
      <c r="A166" s="32" t="n">
        <v>150</v>
      </c>
      <c r="B166" s="33" t="s">
        <v>65</v>
      </c>
      <c r="C166" s="33" t="s">
        <v>528</v>
      </c>
      <c r="D166" s="33" t="s">
        <v>535</v>
      </c>
      <c r="E166" s="33"/>
      <c r="F166" s="33" t="s">
        <v>549</v>
      </c>
      <c r="G166" s="33" t="s">
        <v>550</v>
      </c>
      <c r="H166" s="33"/>
      <c r="I166" s="26"/>
      <c r="J166" s="26"/>
      <c r="K166" s="26"/>
    </row>
    <row r="167" customFormat="false" ht="40.5" hidden="false" customHeight="true" outlineLevel="0" collapsed="false">
      <c r="A167" s="32" t="n">
        <v>151</v>
      </c>
      <c r="B167" s="33" t="s">
        <v>65</v>
      </c>
      <c r="C167" s="33" t="s">
        <v>528</v>
      </c>
      <c r="D167" s="33" t="s">
        <v>546</v>
      </c>
      <c r="E167" s="33"/>
      <c r="F167" s="33" t="s">
        <v>551</v>
      </c>
      <c r="G167" s="33" t="s">
        <v>552</v>
      </c>
      <c r="H167" s="33"/>
      <c r="I167" s="26"/>
      <c r="J167" s="26"/>
      <c r="K167" s="26"/>
    </row>
    <row r="168" customFormat="false" ht="40.5" hidden="false" customHeight="true" outlineLevel="0" collapsed="false">
      <c r="A168" s="32" t="n">
        <v>152</v>
      </c>
      <c r="B168" s="33" t="s">
        <v>65</v>
      </c>
      <c r="C168" s="33" t="s">
        <v>528</v>
      </c>
      <c r="D168" s="33" t="s">
        <v>496</v>
      </c>
      <c r="E168" s="33"/>
      <c r="F168" s="33" t="s">
        <v>516</v>
      </c>
      <c r="G168" s="33" t="s">
        <v>517</v>
      </c>
      <c r="H168" s="33"/>
      <c r="I168" s="26"/>
      <c r="J168" s="26"/>
      <c r="K168" s="26"/>
    </row>
    <row r="169" customFormat="false" ht="40.5" hidden="false" customHeight="true" outlineLevel="0" collapsed="false">
      <c r="A169" s="32" t="n">
        <v>153</v>
      </c>
      <c r="B169" s="33" t="s">
        <v>65</v>
      </c>
      <c r="C169" s="33" t="s">
        <v>528</v>
      </c>
      <c r="D169" s="33" t="s">
        <v>496</v>
      </c>
      <c r="E169" s="33"/>
      <c r="F169" s="33" t="s">
        <v>518</v>
      </c>
      <c r="G169" s="33" t="s">
        <v>519</v>
      </c>
      <c r="H169" s="33"/>
      <c r="I169" s="26"/>
      <c r="J169" s="26"/>
      <c r="K169" s="26"/>
    </row>
    <row r="170" customFormat="false" ht="40.5" hidden="false" customHeight="true" outlineLevel="0" collapsed="false">
      <c r="A170" s="32" t="n">
        <v>154</v>
      </c>
      <c r="B170" s="33" t="s">
        <v>65</v>
      </c>
      <c r="C170" s="33" t="s">
        <v>528</v>
      </c>
      <c r="D170" s="33" t="s">
        <v>496</v>
      </c>
      <c r="E170" s="33"/>
      <c r="F170" s="33" t="s">
        <v>538</v>
      </c>
      <c r="G170" s="33" t="s">
        <v>539</v>
      </c>
      <c r="H170" s="33"/>
      <c r="I170" s="26"/>
      <c r="J170" s="26"/>
      <c r="K170" s="26"/>
    </row>
    <row r="171" customFormat="false" ht="40.5" hidden="false" customHeight="true" outlineLevel="0" collapsed="false">
      <c r="A171" s="32" t="n">
        <v>155</v>
      </c>
      <c r="B171" s="33" t="s">
        <v>65</v>
      </c>
      <c r="C171" s="33" t="s">
        <v>553</v>
      </c>
      <c r="D171" s="33" t="s">
        <v>529</v>
      </c>
      <c r="E171" s="33"/>
      <c r="F171" s="33" t="s">
        <v>554</v>
      </c>
      <c r="G171" s="33" t="s">
        <v>555</v>
      </c>
      <c r="H171" s="33"/>
      <c r="I171" s="26"/>
      <c r="J171" s="26"/>
      <c r="K171" s="26"/>
    </row>
    <row r="172" customFormat="false" ht="40.5" hidden="false" customHeight="true" outlineLevel="0" collapsed="false">
      <c r="A172" s="32" t="n">
        <v>156</v>
      </c>
      <c r="B172" s="33" t="s">
        <v>65</v>
      </c>
      <c r="C172" s="33" t="s">
        <v>553</v>
      </c>
      <c r="D172" s="33" t="s">
        <v>535</v>
      </c>
      <c r="E172" s="33"/>
      <c r="F172" s="33" t="s">
        <v>556</v>
      </c>
      <c r="G172" s="33" t="s">
        <v>557</v>
      </c>
      <c r="H172" s="33"/>
      <c r="I172" s="26"/>
      <c r="J172" s="26"/>
      <c r="K172" s="26"/>
    </row>
    <row r="173" customFormat="false" ht="40.5" hidden="false" customHeight="true" outlineLevel="0" collapsed="false">
      <c r="A173" s="32" t="n">
        <v>157</v>
      </c>
      <c r="B173" s="33" t="s">
        <v>65</v>
      </c>
      <c r="C173" s="33" t="s">
        <v>553</v>
      </c>
      <c r="D173" s="33" t="s">
        <v>496</v>
      </c>
      <c r="E173" s="33"/>
      <c r="F173" s="33" t="s">
        <v>558</v>
      </c>
      <c r="G173" s="33" t="s">
        <v>559</v>
      </c>
      <c r="H173" s="33"/>
      <c r="I173" s="26"/>
      <c r="J173" s="26"/>
      <c r="K173" s="26"/>
    </row>
    <row r="174" customFormat="false" ht="40.5" hidden="false" customHeight="true" outlineLevel="0" collapsed="false">
      <c r="A174" s="32" t="n">
        <v>158</v>
      </c>
      <c r="B174" s="33" t="s">
        <v>65</v>
      </c>
      <c r="C174" s="33" t="s">
        <v>553</v>
      </c>
      <c r="D174" s="33" t="s">
        <v>496</v>
      </c>
      <c r="E174" s="33"/>
      <c r="F174" s="33" t="s">
        <v>560</v>
      </c>
      <c r="G174" s="33" t="s">
        <v>561</v>
      </c>
      <c r="H174" s="33"/>
      <c r="I174" s="26"/>
      <c r="J174" s="26"/>
      <c r="K174" s="26"/>
    </row>
    <row r="175" customFormat="false" ht="40.5" hidden="false" customHeight="true" outlineLevel="0" collapsed="false">
      <c r="A175" s="32" t="n">
        <v>159</v>
      </c>
      <c r="B175" s="33" t="s">
        <v>65</v>
      </c>
      <c r="C175" s="33" t="s">
        <v>553</v>
      </c>
      <c r="D175" s="33" t="s">
        <v>496</v>
      </c>
      <c r="E175" s="33"/>
      <c r="F175" s="33" t="s">
        <v>562</v>
      </c>
      <c r="G175" s="33" t="s">
        <v>563</v>
      </c>
      <c r="H175" s="33"/>
      <c r="I175" s="26"/>
      <c r="J175" s="26"/>
      <c r="K175" s="26"/>
    </row>
    <row r="176" customFormat="false" ht="40.5" hidden="false" customHeight="true" outlineLevel="0" collapsed="false">
      <c r="A176" s="32" t="n">
        <v>160</v>
      </c>
      <c r="B176" s="33" t="s">
        <v>65</v>
      </c>
      <c r="C176" s="33" t="s">
        <v>553</v>
      </c>
      <c r="D176" s="33" t="s">
        <v>535</v>
      </c>
      <c r="E176" s="33"/>
      <c r="F176" s="33" t="s">
        <v>564</v>
      </c>
      <c r="G176" s="33" t="s">
        <v>565</v>
      </c>
      <c r="H176" s="33"/>
      <c r="I176" s="26"/>
      <c r="J176" s="26"/>
      <c r="K176" s="26"/>
    </row>
    <row r="177" customFormat="false" ht="40.5" hidden="false" customHeight="true" outlineLevel="0" collapsed="false">
      <c r="A177" s="32" t="n">
        <v>161</v>
      </c>
      <c r="B177" s="33" t="s">
        <v>65</v>
      </c>
      <c r="C177" s="33" t="s">
        <v>553</v>
      </c>
      <c r="D177" s="33" t="s">
        <v>496</v>
      </c>
      <c r="E177" s="33"/>
      <c r="F177" s="33" t="s">
        <v>566</v>
      </c>
      <c r="G177" s="33" t="s">
        <v>567</v>
      </c>
      <c r="H177" s="33"/>
      <c r="I177" s="26"/>
      <c r="J177" s="26"/>
      <c r="K177" s="26"/>
    </row>
    <row r="178" customFormat="false" ht="40.5" hidden="false" customHeight="true" outlineLevel="0" collapsed="false">
      <c r="A178" s="32" t="n">
        <v>162</v>
      </c>
      <c r="B178" s="33" t="s">
        <v>65</v>
      </c>
      <c r="C178" s="33" t="s">
        <v>553</v>
      </c>
      <c r="D178" s="33" t="s">
        <v>496</v>
      </c>
      <c r="E178" s="33"/>
      <c r="F178" s="33" t="s">
        <v>568</v>
      </c>
      <c r="G178" s="33" t="s">
        <v>569</v>
      </c>
      <c r="H178" s="33"/>
      <c r="I178" s="26"/>
      <c r="J178" s="26"/>
      <c r="K178" s="26"/>
    </row>
    <row r="179" customFormat="false" ht="40.5" hidden="false" customHeight="true" outlineLevel="0" collapsed="false">
      <c r="A179" s="32" t="n">
        <v>163</v>
      </c>
      <c r="B179" s="33" t="s">
        <v>65</v>
      </c>
      <c r="C179" s="33" t="s">
        <v>553</v>
      </c>
      <c r="D179" s="33" t="s">
        <v>496</v>
      </c>
      <c r="E179" s="33"/>
      <c r="F179" s="33" t="s">
        <v>570</v>
      </c>
      <c r="G179" s="33" t="s">
        <v>571</v>
      </c>
      <c r="H179" s="33"/>
      <c r="I179" s="26"/>
      <c r="J179" s="26"/>
      <c r="K179" s="26"/>
    </row>
    <row r="180" customFormat="false" ht="40.5" hidden="false" customHeight="true" outlineLevel="0" collapsed="false">
      <c r="A180" s="32" t="n">
        <v>164</v>
      </c>
      <c r="B180" s="33" t="s">
        <v>65</v>
      </c>
      <c r="C180" s="33" t="s">
        <v>553</v>
      </c>
      <c r="D180" s="33" t="s">
        <v>496</v>
      </c>
      <c r="E180" s="33"/>
      <c r="F180" s="33" t="s">
        <v>572</v>
      </c>
      <c r="G180" s="33" t="s">
        <v>573</v>
      </c>
      <c r="H180" s="33"/>
      <c r="I180" s="26"/>
      <c r="J180" s="26"/>
      <c r="K180" s="26"/>
    </row>
    <row r="181" customFormat="false" ht="40.5" hidden="false" customHeight="true" outlineLevel="0" collapsed="false">
      <c r="A181" s="32" t="n">
        <v>165</v>
      </c>
      <c r="B181" s="33" t="s">
        <v>65</v>
      </c>
      <c r="C181" s="33" t="s">
        <v>553</v>
      </c>
      <c r="D181" s="33" t="s">
        <v>535</v>
      </c>
      <c r="E181" s="33"/>
      <c r="F181" s="33" t="s">
        <v>574</v>
      </c>
      <c r="G181" s="33" t="s">
        <v>575</v>
      </c>
      <c r="H181" s="33"/>
      <c r="I181" s="26"/>
      <c r="J181" s="26"/>
      <c r="K181" s="26"/>
    </row>
    <row r="182" customFormat="false" ht="40.5" hidden="false" customHeight="true" outlineLevel="0" collapsed="false">
      <c r="A182" s="32" t="n">
        <v>166</v>
      </c>
      <c r="B182" s="33" t="s">
        <v>65</v>
      </c>
      <c r="C182" s="33" t="s">
        <v>553</v>
      </c>
      <c r="D182" s="33" t="s">
        <v>496</v>
      </c>
      <c r="E182" s="33"/>
      <c r="F182" s="33" t="s">
        <v>576</v>
      </c>
      <c r="G182" s="33" t="s">
        <v>577</v>
      </c>
      <c r="H182" s="33"/>
      <c r="I182" s="26"/>
      <c r="J182" s="26"/>
      <c r="K182" s="26"/>
    </row>
    <row r="183" customFormat="false" ht="40.5" hidden="false" customHeight="true" outlineLevel="0" collapsed="false">
      <c r="A183" s="32" t="n">
        <v>167</v>
      </c>
      <c r="B183" s="33" t="s">
        <v>65</v>
      </c>
      <c r="C183" s="33" t="s">
        <v>553</v>
      </c>
      <c r="D183" s="33" t="s">
        <v>496</v>
      </c>
      <c r="E183" s="33"/>
      <c r="F183" s="33" t="s">
        <v>578</v>
      </c>
      <c r="G183" s="33" t="s">
        <v>579</v>
      </c>
      <c r="H183" s="33"/>
      <c r="I183" s="26"/>
      <c r="J183" s="26"/>
      <c r="K183" s="26"/>
    </row>
    <row r="184" customFormat="false" ht="40.5" hidden="false" customHeight="true" outlineLevel="0" collapsed="false">
      <c r="A184" s="32" t="n">
        <v>168</v>
      </c>
      <c r="B184" s="33" t="s">
        <v>65</v>
      </c>
      <c r="C184" s="33" t="s">
        <v>553</v>
      </c>
      <c r="D184" s="33" t="s">
        <v>496</v>
      </c>
      <c r="E184" s="33"/>
      <c r="F184" s="33" t="s">
        <v>580</v>
      </c>
      <c r="G184" s="33" t="s">
        <v>581</v>
      </c>
      <c r="H184" s="33"/>
      <c r="I184" s="26"/>
      <c r="J184" s="26"/>
      <c r="K184" s="26"/>
    </row>
    <row r="185" customFormat="false" ht="40.5" hidden="false" customHeight="true" outlineLevel="0" collapsed="false">
      <c r="A185" s="32" t="n">
        <v>169</v>
      </c>
      <c r="B185" s="33" t="s">
        <v>65</v>
      </c>
      <c r="C185" s="33" t="s">
        <v>553</v>
      </c>
      <c r="D185" s="33" t="s">
        <v>496</v>
      </c>
      <c r="E185" s="33"/>
      <c r="F185" s="33" t="s">
        <v>582</v>
      </c>
      <c r="G185" s="33" t="s">
        <v>583</v>
      </c>
      <c r="H185" s="33"/>
      <c r="I185" s="26"/>
      <c r="J185" s="26"/>
      <c r="K185" s="26"/>
    </row>
    <row r="186" customFormat="false" ht="40.5" hidden="false" customHeight="true" outlineLevel="0" collapsed="false">
      <c r="A186" s="32" t="n">
        <v>170</v>
      </c>
      <c r="B186" s="33" t="s">
        <v>65</v>
      </c>
      <c r="C186" s="33" t="s">
        <v>553</v>
      </c>
      <c r="D186" s="33" t="s">
        <v>535</v>
      </c>
      <c r="E186" s="33"/>
      <c r="F186" s="33" t="s">
        <v>584</v>
      </c>
      <c r="G186" s="33" t="s">
        <v>585</v>
      </c>
      <c r="H186" s="33"/>
      <c r="I186" s="26"/>
      <c r="J186" s="26"/>
      <c r="K186" s="26"/>
    </row>
    <row r="187" customFormat="false" ht="40.5" hidden="false" customHeight="true" outlineLevel="0" collapsed="false">
      <c r="A187" s="32" t="n">
        <v>171</v>
      </c>
      <c r="B187" s="33" t="s">
        <v>65</v>
      </c>
      <c r="C187" s="33" t="s">
        <v>553</v>
      </c>
      <c r="D187" s="33" t="s">
        <v>496</v>
      </c>
      <c r="E187" s="33"/>
      <c r="F187" s="33" t="s">
        <v>586</v>
      </c>
      <c r="G187" s="33" t="s">
        <v>587</v>
      </c>
      <c r="H187" s="33"/>
      <c r="I187" s="26"/>
      <c r="J187" s="26"/>
      <c r="K187" s="26"/>
    </row>
    <row r="188" customFormat="false" ht="40.5" hidden="false" customHeight="true" outlineLevel="0" collapsed="false">
      <c r="A188" s="32" t="n">
        <v>172</v>
      </c>
      <c r="B188" s="33" t="s">
        <v>65</v>
      </c>
      <c r="C188" s="33" t="s">
        <v>553</v>
      </c>
      <c r="D188" s="33" t="s">
        <v>496</v>
      </c>
      <c r="E188" s="33"/>
      <c r="F188" s="33" t="s">
        <v>588</v>
      </c>
      <c r="G188" s="33" t="s">
        <v>589</v>
      </c>
      <c r="H188" s="33"/>
      <c r="I188" s="26"/>
      <c r="J188" s="26"/>
      <c r="K188" s="26"/>
    </row>
    <row r="189" customFormat="false" ht="40.5" hidden="false" customHeight="true" outlineLevel="0" collapsed="false">
      <c r="A189" s="32" t="n">
        <v>173</v>
      </c>
      <c r="B189" s="33" t="s">
        <v>65</v>
      </c>
      <c r="C189" s="33" t="s">
        <v>553</v>
      </c>
      <c r="D189" s="33" t="s">
        <v>496</v>
      </c>
      <c r="E189" s="33"/>
      <c r="F189" s="33" t="s">
        <v>590</v>
      </c>
      <c r="G189" s="33" t="s">
        <v>591</v>
      </c>
      <c r="H189" s="33"/>
      <c r="I189" s="26"/>
      <c r="J189" s="26"/>
      <c r="K189" s="26"/>
    </row>
    <row r="190" customFormat="false" ht="40.5" hidden="false" customHeight="true" outlineLevel="0" collapsed="false">
      <c r="A190" s="32" t="n">
        <v>174</v>
      </c>
      <c r="B190" s="33" t="s">
        <v>65</v>
      </c>
      <c r="C190" s="33" t="s">
        <v>553</v>
      </c>
      <c r="D190" s="33" t="s">
        <v>535</v>
      </c>
      <c r="E190" s="33"/>
      <c r="F190" s="33" t="s">
        <v>592</v>
      </c>
      <c r="G190" s="33" t="s">
        <v>593</v>
      </c>
      <c r="H190" s="33"/>
      <c r="I190" s="26"/>
      <c r="J190" s="26"/>
      <c r="K190" s="26"/>
    </row>
    <row r="191" customFormat="false" ht="40.5" hidden="false" customHeight="true" outlineLevel="0" collapsed="false">
      <c r="A191" s="32" t="n">
        <v>175</v>
      </c>
      <c r="B191" s="33" t="s">
        <v>65</v>
      </c>
      <c r="C191" s="33" t="s">
        <v>553</v>
      </c>
      <c r="D191" s="33" t="s">
        <v>546</v>
      </c>
      <c r="E191" s="33"/>
      <c r="F191" s="33" t="s">
        <v>594</v>
      </c>
      <c r="G191" s="33" t="s">
        <v>595</v>
      </c>
      <c r="H191" s="33"/>
      <c r="I191" s="26"/>
      <c r="J191" s="26"/>
      <c r="K191" s="26"/>
    </row>
    <row r="192" customFormat="false" ht="40.5" hidden="false" customHeight="true" outlineLevel="0" collapsed="false">
      <c r="A192" s="32" t="n">
        <v>176</v>
      </c>
      <c r="B192" s="33" t="s">
        <v>65</v>
      </c>
      <c r="C192" s="33" t="s">
        <v>553</v>
      </c>
      <c r="D192" s="33" t="s">
        <v>496</v>
      </c>
      <c r="E192" s="33"/>
      <c r="F192" s="33" t="s">
        <v>596</v>
      </c>
      <c r="G192" s="33" t="s">
        <v>597</v>
      </c>
      <c r="H192" s="33"/>
      <c r="I192" s="26"/>
      <c r="J192" s="26"/>
      <c r="K192" s="26"/>
    </row>
    <row r="193" customFormat="false" ht="40.5" hidden="false" customHeight="true" outlineLevel="0" collapsed="false">
      <c r="A193" s="32" t="n">
        <v>177</v>
      </c>
      <c r="B193" s="33" t="s">
        <v>65</v>
      </c>
      <c r="C193" s="33" t="s">
        <v>553</v>
      </c>
      <c r="D193" s="33" t="s">
        <v>496</v>
      </c>
      <c r="E193" s="33"/>
      <c r="F193" s="33" t="s">
        <v>598</v>
      </c>
      <c r="G193" s="33" t="s">
        <v>599</v>
      </c>
      <c r="H193" s="33"/>
      <c r="I193" s="26"/>
      <c r="J193" s="26"/>
      <c r="K193" s="26"/>
    </row>
    <row r="194" customFormat="false" ht="40.5" hidden="false" customHeight="true" outlineLevel="0" collapsed="false">
      <c r="A194" s="32" t="n">
        <v>178</v>
      </c>
      <c r="B194" s="33" t="s">
        <v>65</v>
      </c>
      <c r="C194" s="33" t="s">
        <v>553</v>
      </c>
      <c r="D194" s="33" t="s">
        <v>496</v>
      </c>
      <c r="E194" s="33"/>
      <c r="F194" s="33" t="s">
        <v>600</v>
      </c>
      <c r="G194" s="33" t="s">
        <v>601</v>
      </c>
      <c r="H194" s="33"/>
      <c r="I194" s="26"/>
      <c r="J194" s="26"/>
      <c r="K194" s="26"/>
    </row>
    <row r="195" customFormat="false" ht="40.5" hidden="false" customHeight="true" outlineLevel="0" collapsed="false">
      <c r="A195" s="32" t="n">
        <v>179</v>
      </c>
      <c r="B195" s="33" t="s">
        <v>65</v>
      </c>
      <c r="C195" s="33" t="s">
        <v>553</v>
      </c>
      <c r="D195" s="33" t="s">
        <v>496</v>
      </c>
      <c r="E195" s="33"/>
      <c r="F195" s="33" t="s">
        <v>602</v>
      </c>
      <c r="G195" s="33" t="s">
        <v>603</v>
      </c>
      <c r="H195" s="33"/>
      <c r="I195" s="26"/>
      <c r="J195" s="26"/>
      <c r="K195" s="26"/>
    </row>
    <row r="196" customFormat="false" ht="40.5" hidden="false" customHeight="true" outlineLevel="0" collapsed="false">
      <c r="A196" s="32" t="n">
        <v>180</v>
      </c>
      <c r="B196" s="33" t="s">
        <v>65</v>
      </c>
      <c r="C196" s="33" t="s">
        <v>553</v>
      </c>
      <c r="D196" s="33" t="s">
        <v>496</v>
      </c>
      <c r="E196" s="33"/>
      <c r="F196" s="33" t="s">
        <v>604</v>
      </c>
      <c r="G196" s="33" t="s">
        <v>605</v>
      </c>
      <c r="H196" s="33"/>
      <c r="I196" s="26"/>
      <c r="J196" s="26"/>
      <c r="K196" s="26"/>
    </row>
    <row r="197" customFormat="false" ht="40.5" hidden="false" customHeight="true" outlineLevel="0" collapsed="false">
      <c r="A197" s="32" t="n">
        <v>181</v>
      </c>
      <c r="B197" s="33" t="s">
        <v>65</v>
      </c>
      <c r="C197" s="33" t="s">
        <v>606</v>
      </c>
      <c r="D197" s="33" t="s">
        <v>607</v>
      </c>
      <c r="E197" s="33"/>
      <c r="F197" s="33" t="s">
        <v>608</v>
      </c>
      <c r="G197" s="33" t="s">
        <v>609</v>
      </c>
      <c r="H197" s="33"/>
      <c r="I197" s="26"/>
      <c r="J197" s="26"/>
      <c r="K197" s="26"/>
    </row>
    <row r="198" customFormat="false" ht="40.5" hidden="false" customHeight="true" outlineLevel="0" collapsed="false">
      <c r="A198" s="32" t="n">
        <v>182</v>
      </c>
      <c r="B198" s="33" t="s">
        <v>65</v>
      </c>
      <c r="C198" s="33" t="s">
        <v>606</v>
      </c>
      <c r="D198" s="33" t="s">
        <v>610</v>
      </c>
      <c r="E198" s="33"/>
      <c r="F198" s="33" t="s">
        <v>611</v>
      </c>
      <c r="G198" s="33" t="s">
        <v>612</v>
      </c>
      <c r="H198" s="33"/>
      <c r="I198" s="26"/>
      <c r="J198" s="26"/>
      <c r="K198" s="26"/>
    </row>
    <row r="199" customFormat="false" ht="40.5" hidden="false" customHeight="true" outlineLevel="0" collapsed="false">
      <c r="A199" s="32" t="n">
        <v>183</v>
      </c>
      <c r="B199" s="33" t="s">
        <v>65</v>
      </c>
      <c r="C199" s="33" t="s">
        <v>606</v>
      </c>
      <c r="D199" s="33" t="s">
        <v>613</v>
      </c>
      <c r="E199" s="33"/>
      <c r="F199" s="33" t="s">
        <v>614</v>
      </c>
      <c r="G199" s="33" t="s">
        <v>615</v>
      </c>
      <c r="H199" s="33"/>
      <c r="I199" s="26"/>
      <c r="J199" s="26"/>
      <c r="K199" s="26"/>
    </row>
    <row r="200" customFormat="false" ht="40.5" hidden="false" customHeight="true" outlineLevel="0" collapsed="false">
      <c r="A200" s="27" t="s">
        <v>616</v>
      </c>
      <c r="B200" s="28" t="s">
        <v>65</v>
      </c>
      <c r="C200" s="28" t="s">
        <v>606</v>
      </c>
      <c r="D200" s="28" t="s">
        <v>617</v>
      </c>
      <c r="E200" s="28"/>
      <c r="F200" s="28" t="s">
        <v>618</v>
      </c>
      <c r="G200" s="28" t="s">
        <v>619</v>
      </c>
      <c r="H200" s="28" t="s">
        <v>620</v>
      </c>
      <c r="I200" s="28"/>
      <c r="J200" s="28"/>
      <c r="K200" s="26"/>
    </row>
    <row r="201" customFormat="false" ht="40.5" hidden="false" customHeight="true" outlineLevel="0" collapsed="false">
      <c r="A201" s="32" t="n">
        <v>184</v>
      </c>
      <c r="B201" s="33" t="s">
        <v>65</v>
      </c>
      <c r="C201" s="33" t="s">
        <v>606</v>
      </c>
      <c r="D201" s="33" t="s">
        <v>621</v>
      </c>
      <c r="E201" s="33"/>
      <c r="F201" s="33" t="s">
        <v>622</v>
      </c>
      <c r="G201" s="33" t="s">
        <v>623</v>
      </c>
      <c r="H201" s="33" t="s">
        <v>624</v>
      </c>
      <c r="I201" s="26"/>
      <c r="J201" s="26"/>
      <c r="K201" s="26"/>
    </row>
    <row r="202" customFormat="false" ht="40.5" hidden="false" customHeight="true" outlineLevel="0" collapsed="false">
      <c r="A202" s="32" t="n">
        <v>185</v>
      </c>
      <c r="B202" s="33" t="s">
        <v>65</v>
      </c>
      <c r="C202" s="33" t="s">
        <v>606</v>
      </c>
      <c r="D202" s="33" t="s">
        <v>625</v>
      </c>
      <c r="E202" s="33"/>
      <c r="F202" s="33" t="s">
        <v>626</v>
      </c>
      <c r="G202" s="33" t="s">
        <v>627</v>
      </c>
      <c r="H202" s="33"/>
      <c r="I202" s="26"/>
      <c r="J202" s="26"/>
      <c r="K202" s="26"/>
    </row>
    <row r="203" customFormat="false" ht="40.5" hidden="false" customHeight="true" outlineLevel="0" collapsed="false">
      <c r="A203" s="32" t="n">
        <v>186</v>
      </c>
      <c r="B203" s="33" t="s">
        <v>65</v>
      </c>
      <c r="C203" s="33" t="s">
        <v>628</v>
      </c>
      <c r="D203" s="33" t="s">
        <v>493</v>
      </c>
      <c r="E203" s="33"/>
      <c r="F203" s="33" t="s">
        <v>629</v>
      </c>
      <c r="G203" s="33" t="s">
        <v>630</v>
      </c>
      <c r="H203" s="33"/>
      <c r="I203" s="26"/>
      <c r="J203" s="26"/>
      <c r="K203" s="26"/>
    </row>
    <row r="204" customFormat="false" ht="40.5" hidden="false" customHeight="true" outlineLevel="0" collapsed="false">
      <c r="A204" s="32" t="n">
        <v>187</v>
      </c>
      <c r="B204" s="33" t="s">
        <v>65</v>
      </c>
      <c r="C204" s="33" t="s">
        <v>628</v>
      </c>
      <c r="D204" s="33" t="s">
        <v>546</v>
      </c>
      <c r="E204" s="33"/>
      <c r="F204" s="33" t="s">
        <v>631</v>
      </c>
      <c r="G204" s="33" t="s">
        <v>632</v>
      </c>
      <c r="H204" s="33"/>
      <c r="I204" s="26"/>
      <c r="J204" s="26"/>
      <c r="K204" s="26"/>
    </row>
    <row r="205" customFormat="false" ht="40.5" hidden="false" customHeight="true" outlineLevel="0" collapsed="false">
      <c r="A205" s="32" t="n">
        <v>188</v>
      </c>
      <c r="B205" s="33" t="s">
        <v>65</v>
      </c>
      <c r="C205" s="33" t="s">
        <v>628</v>
      </c>
      <c r="D205" s="33" t="s">
        <v>496</v>
      </c>
      <c r="E205" s="33"/>
      <c r="F205" s="33" t="s">
        <v>633</v>
      </c>
      <c r="G205" s="33" t="s">
        <v>634</v>
      </c>
      <c r="H205" s="33"/>
      <c r="I205" s="26"/>
      <c r="J205" s="26"/>
      <c r="K205" s="26"/>
    </row>
    <row r="206" customFormat="false" ht="40.5" hidden="false" customHeight="true" outlineLevel="0" collapsed="false">
      <c r="A206" s="32" t="n">
        <v>189</v>
      </c>
      <c r="B206" s="33" t="s">
        <v>65</v>
      </c>
      <c r="C206" s="33" t="s">
        <v>628</v>
      </c>
      <c r="D206" s="33" t="s">
        <v>496</v>
      </c>
      <c r="E206" s="33"/>
      <c r="F206" s="33" t="s">
        <v>635</v>
      </c>
      <c r="G206" s="33" t="s">
        <v>636</v>
      </c>
      <c r="H206" s="33"/>
      <c r="I206" s="26"/>
      <c r="J206" s="26"/>
      <c r="K206" s="26"/>
    </row>
    <row r="207" customFormat="false" ht="40.5" hidden="false" customHeight="true" outlineLevel="0" collapsed="false">
      <c r="A207" s="32" t="n">
        <v>190</v>
      </c>
      <c r="B207" s="33" t="s">
        <v>65</v>
      </c>
      <c r="C207" s="33" t="s">
        <v>628</v>
      </c>
      <c r="D207" s="33" t="s">
        <v>496</v>
      </c>
      <c r="E207" s="33"/>
      <c r="F207" s="33" t="s">
        <v>637</v>
      </c>
      <c r="G207" s="33" t="s">
        <v>638</v>
      </c>
      <c r="H207" s="33"/>
      <c r="I207" s="26"/>
      <c r="J207" s="26"/>
      <c r="K207" s="26"/>
    </row>
    <row r="208" customFormat="false" ht="40.5" hidden="false" customHeight="true" outlineLevel="0" collapsed="false">
      <c r="A208" s="32" t="n">
        <v>191</v>
      </c>
      <c r="B208" s="33" t="s">
        <v>65</v>
      </c>
      <c r="C208" s="33" t="s">
        <v>628</v>
      </c>
      <c r="D208" s="33" t="s">
        <v>496</v>
      </c>
      <c r="E208" s="33"/>
      <c r="F208" s="33" t="s">
        <v>639</v>
      </c>
      <c r="G208" s="33" t="s">
        <v>640</v>
      </c>
      <c r="H208" s="33"/>
      <c r="I208" s="26"/>
      <c r="J208" s="26"/>
      <c r="K208" s="26"/>
    </row>
    <row r="209" customFormat="false" ht="40.5" hidden="false" customHeight="true" outlineLevel="0" collapsed="false">
      <c r="A209" s="32" t="n">
        <v>192</v>
      </c>
      <c r="B209" s="33" t="s">
        <v>65</v>
      </c>
      <c r="C209" s="33" t="s">
        <v>628</v>
      </c>
      <c r="D209" s="33" t="s">
        <v>496</v>
      </c>
      <c r="E209" s="33"/>
      <c r="F209" s="33" t="s">
        <v>641</v>
      </c>
      <c r="G209" s="33" t="s">
        <v>642</v>
      </c>
      <c r="H209" s="33"/>
      <c r="I209" s="26"/>
      <c r="J209" s="26"/>
      <c r="K209" s="26"/>
    </row>
    <row r="210" customFormat="false" ht="40.5" hidden="false" customHeight="true" outlineLevel="0" collapsed="false">
      <c r="A210" s="32" t="n">
        <v>193</v>
      </c>
      <c r="B210" s="33" t="s">
        <v>65</v>
      </c>
      <c r="C210" s="33" t="s">
        <v>643</v>
      </c>
      <c r="D210" s="33" t="s">
        <v>529</v>
      </c>
      <c r="E210" s="33"/>
      <c r="F210" s="33" t="s">
        <v>644</v>
      </c>
      <c r="G210" s="33" t="s">
        <v>645</v>
      </c>
      <c r="H210" s="33"/>
      <c r="I210" s="26"/>
      <c r="J210" s="26"/>
      <c r="K210" s="26"/>
    </row>
    <row r="211" customFormat="false" ht="40.5" hidden="false" customHeight="true" outlineLevel="0" collapsed="false">
      <c r="A211" s="32" t="n">
        <v>194</v>
      </c>
      <c r="B211" s="33" t="s">
        <v>65</v>
      </c>
      <c r="C211" s="33" t="s">
        <v>643</v>
      </c>
      <c r="D211" s="33" t="s">
        <v>535</v>
      </c>
      <c r="E211" s="33"/>
      <c r="F211" s="33" t="s">
        <v>646</v>
      </c>
      <c r="G211" s="33" t="s">
        <v>647</v>
      </c>
      <c r="H211" s="33"/>
      <c r="I211" s="26"/>
      <c r="J211" s="26"/>
      <c r="K211" s="26"/>
    </row>
    <row r="212" customFormat="false" ht="40.5" hidden="false" customHeight="true" outlineLevel="0" collapsed="false">
      <c r="A212" s="32" t="n">
        <v>195</v>
      </c>
      <c r="B212" s="33" t="s">
        <v>65</v>
      </c>
      <c r="C212" s="33" t="s">
        <v>643</v>
      </c>
      <c r="D212" s="33" t="s">
        <v>496</v>
      </c>
      <c r="E212" s="33"/>
      <c r="F212" s="33" t="s">
        <v>648</v>
      </c>
      <c r="G212" s="33" t="s">
        <v>649</v>
      </c>
      <c r="H212" s="33"/>
      <c r="I212" s="26"/>
      <c r="J212" s="26"/>
      <c r="K212" s="26"/>
    </row>
    <row r="213" customFormat="false" ht="40.5" hidden="false" customHeight="true" outlineLevel="0" collapsed="false">
      <c r="A213" s="32" t="n">
        <v>196</v>
      </c>
      <c r="B213" s="33" t="s">
        <v>65</v>
      </c>
      <c r="C213" s="33" t="s">
        <v>643</v>
      </c>
      <c r="D213" s="33" t="s">
        <v>496</v>
      </c>
      <c r="E213" s="33"/>
      <c r="F213" s="33" t="s">
        <v>650</v>
      </c>
      <c r="G213" s="33" t="s">
        <v>651</v>
      </c>
      <c r="H213" s="33"/>
      <c r="I213" s="26"/>
      <c r="J213" s="26"/>
      <c r="K213" s="26"/>
    </row>
    <row r="214" customFormat="false" ht="40.5" hidden="false" customHeight="true" outlineLevel="0" collapsed="false">
      <c r="A214" s="32" t="n">
        <v>197</v>
      </c>
      <c r="B214" s="33" t="s">
        <v>65</v>
      </c>
      <c r="C214" s="33" t="s">
        <v>643</v>
      </c>
      <c r="D214" s="33" t="s">
        <v>496</v>
      </c>
      <c r="E214" s="33"/>
      <c r="F214" s="33" t="s">
        <v>652</v>
      </c>
      <c r="G214" s="33" t="s">
        <v>653</v>
      </c>
      <c r="H214" s="33"/>
      <c r="I214" s="26"/>
      <c r="J214" s="26"/>
      <c r="K214" s="26"/>
    </row>
    <row r="215" customFormat="false" ht="40.5" hidden="false" customHeight="true" outlineLevel="0" collapsed="false">
      <c r="A215" s="32" t="n">
        <v>198</v>
      </c>
      <c r="B215" s="33" t="s">
        <v>65</v>
      </c>
      <c r="C215" s="33" t="s">
        <v>643</v>
      </c>
      <c r="D215" s="33" t="s">
        <v>496</v>
      </c>
      <c r="E215" s="33"/>
      <c r="F215" s="33" t="s">
        <v>654</v>
      </c>
      <c r="G215" s="33" t="s">
        <v>655</v>
      </c>
      <c r="H215" s="33"/>
      <c r="I215" s="26"/>
      <c r="J215" s="26"/>
      <c r="K215" s="26"/>
    </row>
    <row r="216" customFormat="false" ht="40.5" hidden="false" customHeight="true" outlineLevel="0" collapsed="false">
      <c r="A216" s="32" t="n">
        <v>199</v>
      </c>
      <c r="B216" s="33" t="s">
        <v>65</v>
      </c>
      <c r="C216" s="33" t="s">
        <v>643</v>
      </c>
      <c r="D216" s="33" t="s">
        <v>535</v>
      </c>
      <c r="E216" s="33"/>
      <c r="F216" s="33" t="s">
        <v>656</v>
      </c>
      <c r="G216" s="33" t="s">
        <v>657</v>
      </c>
      <c r="H216" s="33"/>
      <c r="I216" s="26"/>
      <c r="J216" s="26"/>
      <c r="K216" s="26"/>
    </row>
    <row r="217" customFormat="false" ht="40.5" hidden="false" customHeight="true" outlineLevel="0" collapsed="false">
      <c r="A217" s="32" t="n">
        <v>200</v>
      </c>
      <c r="B217" s="33" t="s">
        <v>65</v>
      </c>
      <c r="C217" s="33" t="s">
        <v>643</v>
      </c>
      <c r="D217" s="33" t="s">
        <v>496</v>
      </c>
      <c r="E217" s="33"/>
      <c r="F217" s="33" t="s">
        <v>648</v>
      </c>
      <c r="G217" s="33" t="s">
        <v>649</v>
      </c>
      <c r="H217" s="33"/>
      <c r="I217" s="26"/>
      <c r="J217" s="26"/>
      <c r="K217" s="26"/>
    </row>
    <row r="218" customFormat="false" ht="40.5" hidden="false" customHeight="true" outlineLevel="0" collapsed="false">
      <c r="A218" s="32" t="n">
        <v>201</v>
      </c>
      <c r="B218" s="33" t="s">
        <v>65</v>
      </c>
      <c r="C218" s="33" t="s">
        <v>643</v>
      </c>
      <c r="D218" s="33" t="s">
        <v>496</v>
      </c>
      <c r="E218" s="33"/>
      <c r="F218" s="33" t="s">
        <v>650</v>
      </c>
      <c r="G218" s="33" t="s">
        <v>651</v>
      </c>
      <c r="H218" s="33"/>
      <c r="I218" s="26"/>
      <c r="J218" s="26"/>
      <c r="K218" s="26"/>
    </row>
    <row r="219" customFormat="false" ht="40.5" hidden="false" customHeight="true" outlineLevel="0" collapsed="false">
      <c r="A219" s="32" t="n">
        <v>202</v>
      </c>
      <c r="B219" s="33" t="s">
        <v>65</v>
      </c>
      <c r="C219" s="33" t="s">
        <v>643</v>
      </c>
      <c r="D219" s="33" t="s">
        <v>496</v>
      </c>
      <c r="E219" s="33"/>
      <c r="F219" s="33" t="s">
        <v>652</v>
      </c>
      <c r="G219" s="33" t="s">
        <v>653</v>
      </c>
      <c r="H219" s="33"/>
      <c r="I219" s="26"/>
      <c r="J219" s="26"/>
      <c r="K219" s="26"/>
    </row>
    <row r="220" customFormat="false" ht="40.5" hidden="false" customHeight="true" outlineLevel="0" collapsed="false">
      <c r="A220" s="32" t="n">
        <v>203</v>
      </c>
      <c r="B220" s="33" t="s">
        <v>65</v>
      </c>
      <c r="C220" s="33" t="s">
        <v>643</v>
      </c>
      <c r="D220" s="33" t="s">
        <v>496</v>
      </c>
      <c r="E220" s="33"/>
      <c r="F220" s="33" t="s">
        <v>654</v>
      </c>
      <c r="G220" s="33" t="s">
        <v>655</v>
      </c>
      <c r="H220" s="33"/>
      <c r="I220" s="26"/>
      <c r="J220" s="26"/>
      <c r="K220" s="26"/>
    </row>
    <row r="221" customFormat="false" ht="40.5" hidden="false" customHeight="true" outlineLevel="0" collapsed="false">
      <c r="A221" s="32" t="n">
        <v>204</v>
      </c>
      <c r="B221" s="33" t="s">
        <v>65</v>
      </c>
      <c r="C221" s="33" t="s">
        <v>643</v>
      </c>
      <c r="D221" s="33" t="s">
        <v>535</v>
      </c>
      <c r="E221" s="33"/>
      <c r="F221" s="33" t="s">
        <v>658</v>
      </c>
      <c r="G221" s="33" t="s">
        <v>659</v>
      </c>
      <c r="H221" s="33"/>
      <c r="I221" s="26"/>
      <c r="J221" s="26"/>
      <c r="K221" s="26"/>
    </row>
    <row r="222" customFormat="false" ht="40.5" hidden="false" customHeight="true" outlineLevel="0" collapsed="false">
      <c r="A222" s="32" t="n">
        <v>205</v>
      </c>
      <c r="B222" s="33" t="s">
        <v>65</v>
      </c>
      <c r="C222" s="33" t="s">
        <v>643</v>
      </c>
      <c r="D222" s="33" t="s">
        <v>496</v>
      </c>
      <c r="E222" s="33"/>
      <c r="F222" s="33" t="s">
        <v>648</v>
      </c>
      <c r="G222" s="33" t="s">
        <v>649</v>
      </c>
      <c r="H222" s="33"/>
      <c r="I222" s="26"/>
      <c r="J222" s="26"/>
      <c r="K222" s="26"/>
    </row>
    <row r="223" customFormat="false" ht="40.5" hidden="false" customHeight="true" outlineLevel="0" collapsed="false">
      <c r="A223" s="32" t="n">
        <v>206</v>
      </c>
      <c r="B223" s="33" t="s">
        <v>65</v>
      </c>
      <c r="C223" s="33" t="s">
        <v>643</v>
      </c>
      <c r="D223" s="33" t="s">
        <v>496</v>
      </c>
      <c r="E223" s="33"/>
      <c r="F223" s="33" t="s">
        <v>650</v>
      </c>
      <c r="G223" s="33" t="s">
        <v>651</v>
      </c>
      <c r="H223" s="33"/>
      <c r="I223" s="26"/>
      <c r="J223" s="26"/>
      <c r="K223" s="26"/>
    </row>
    <row r="224" customFormat="false" ht="40.5" hidden="false" customHeight="true" outlineLevel="0" collapsed="false">
      <c r="A224" s="32" t="n">
        <v>207</v>
      </c>
      <c r="B224" s="33" t="s">
        <v>65</v>
      </c>
      <c r="C224" s="33" t="s">
        <v>643</v>
      </c>
      <c r="D224" s="33" t="s">
        <v>496</v>
      </c>
      <c r="E224" s="33"/>
      <c r="F224" s="33" t="s">
        <v>652</v>
      </c>
      <c r="G224" s="33" t="s">
        <v>653</v>
      </c>
      <c r="H224" s="33"/>
      <c r="I224" s="26"/>
      <c r="J224" s="26"/>
      <c r="K224" s="26"/>
    </row>
    <row r="225" customFormat="false" ht="40.5" hidden="false" customHeight="true" outlineLevel="0" collapsed="false">
      <c r="A225" s="32" t="n">
        <v>208</v>
      </c>
      <c r="B225" s="33" t="s">
        <v>65</v>
      </c>
      <c r="C225" s="33" t="s">
        <v>643</v>
      </c>
      <c r="D225" s="33" t="s">
        <v>496</v>
      </c>
      <c r="E225" s="33"/>
      <c r="F225" s="33" t="s">
        <v>654</v>
      </c>
      <c r="G225" s="33" t="s">
        <v>655</v>
      </c>
      <c r="H225" s="33"/>
      <c r="I225" s="26"/>
      <c r="J225" s="26"/>
      <c r="K225" s="26"/>
    </row>
    <row r="226" customFormat="false" ht="40.5" hidden="false" customHeight="true" outlineLevel="0" collapsed="false">
      <c r="A226" s="32" t="n">
        <v>209</v>
      </c>
      <c r="B226" s="33" t="s">
        <v>65</v>
      </c>
      <c r="C226" s="33" t="s">
        <v>660</v>
      </c>
      <c r="D226" s="33" t="s">
        <v>493</v>
      </c>
      <c r="E226" s="33" t="s">
        <v>661</v>
      </c>
      <c r="F226" s="33" t="s">
        <v>662</v>
      </c>
      <c r="G226" s="33" t="s">
        <v>663</v>
      </c>
      <c r="H226" s="33"/>
      <c r="I226" s="26"/>
      <c r="J226" s="26"/>
      <c r="K226" s="26"/>
    </row>
    <row r="227" customFormat="false" ht="40.5" hidden="false" customHeight="true" outlineLevel="0" collapsed="false">
      <c r="A227" s="32" t="n">
        <v>210</v>
      </c>
      <c r="B227" s="33" t="s">
        <v>65</v>
      </c>
      <c r="C227" s="33" t="s">
        <v>660</v>
      </c>
      <c r="D227" s="33" t="s">
        <v>496</v>
      </c>
      <c r="E227" s="33" t="s">
        <v>661</v>
      </c>
      <c r="F227" s="33" t="s">
        <v>664</v>
      </c>
      <c r="G227" s="33" t="s">
        <v>665</v>
      </c>
      <c r="H227" s="33"/>
      <c r="I227" s="26"/>
      <c r="J227" s="26"/>
      <c r="K227" s="26"/>
    </row>
    <row r="228" customFormat="false" ht="40.5" hidden="false" customHeight="true" outlineLevel="0" collapsed="false">
      <c r="A228" s="32" t="n">
        <v>211</v>
      </c>
      <c r="B228" s="33" t="s">
        <v>65</v>
      </c>
      <c r="C228" s="33" t="s">
        <v>660</v>
      </c>
      <c r="D228" s="33" t="s">
        <v>496</v>
      </c>
      <c r="E228" s="33" t="s">
        <v>661</v>
      </c>
      <c r="F228" s="33" t="s">
        <v>666</v>
      </c>
      <c r="G228" s="33" t="s">
        <v>667</v>
      </c>
      <c r="H228" s="33"/>
      <c r="I228" s="26"/>
      <c r="J228" s="26"/>
      <c r="K228" s="26"/>
    </row>
    <row r="229" customFormat="false" ht="40.5" hidden="false" customHeight="true" outlineLevel="0" collapsed="false">
      <c r="A229" s="32" t="n">
        <v>212</v>
      </c>
      <c r="B229" s="33" t="s">
        <v>65</v>
      </c>
      <c r="C229" s="33" t="s">
        <v>660</v>
      </c>
      <c r="D229" s="33" t="s">
        <v>493</v>
      </c>
      <c r="E229" s="33"/>
      <c r="F229" s="33" t="s">
        <v>668</v>
      </c>
      <c r="G229" s="33" t="s">
        <v>669</v>
      </c>
      <c r="H229" s="33"/>
      <c r="I229" s="26"/>
      <c r="J229" s="26"/>
      <c r="K229" s="26"/>
    </row>
    <row r="230" customFormat="false" ht="40.5" hidden="false" customHeight="true" outlineLevel="0" collapsed="false">
      <c r="A230" s="32" t="n">
        <v>213</v>
      </c>
      <c r="B230" s="33" t="s">
        <v>65</v>
      </c>
      <c r="C230" s="33" t="s">
        <v>660</v>
      </c>
      <c r="D230" s="33" t="s">
        <v>496</v>
      </c>
      <c r="E230" s="33"/>
      <c r="F230" s="33" t="s">
        <v>516</v>
      </c>
      <c r="G230" s="33" t="s">
        <v>517</v>
      </c>
      <c r="H230" s="33"/>
      <c r="I230" s="26"/>
      <c r="J230" s="26"/>
      <c r="K230" s="26"/>
    </row>
    <row r="231" customFormat="false" ht="40.5" hidden="false" customHeight="true" outlineLevel="0" collapsed="false">
      <c r="A231" s="32" t="n">
        <v>214</v>
      </c>
      <c r="B231" s="33" t="s">
        <v>65</v>
      </c>
      <c r="C231" s="33" t="s">
        <v>660</v>
      </c>
      <c r="D231" s="33" t="s">
        <v>496</v>
      </c>
      <c r="E231" s="33"/>
      <c r="F231" s="33" t="s">
        <v>518</v>
      </c>
      <c r="G231" s="33" t="s">
        <v>519</v>
      </c>
      <c r="H231" s="33"/>
      <c r="I231" s="26"/>
      <c r="J231" s="26"/>
      <c r="K231" s="26"/>
    </row>
    <row r="232" customFormat="false" ht="54" hidden="false" customHeight="true" outlineLevel="0" collapsed="false">
      <c r="A232" s="24" t="n">
        <v>215</v>
      </c>
      <c r="B232" s="25" t="s">
        <v>66</v>
      </c>
      <c r="C232" s="25"/>
      <c r="D232" s="25" t="s">
        <v>78</v>
      </c>
      <c r="E232" s="25"/>
      <c r="F232" s="25" t="s">
        <v>670</v>
      </c>
      <c r="G232" s="25" t="s">
        <v>671</v>
      </c>
      <c r="H232" s="25"/>
      <c r="I232" s="26"/>
      <c r="J232" s="26"/>
      <c r="K232" s="26"/>
    </row>
    <row r="233" customFormat="false" ht="54" hidden="false" customHeight="true" outlineLevel="0" collapsed="false">
      <c r="A233" s="24" t="n">
        <v>216</v>
      </c>
      <c r="B233" s="25" t="s">
        <v>66</v>
      </c>
      <c r="C233" s="25"/>
      <c r="D233" s="25" t="s">
        <v>672</v>
      </c>
      <c r="E233" s="25"/>
      <c r="F233" s="25" t="s">
        <v>673</v>
      </c>
      <c r="G233" s="25" t="s">
        <v>674</v>
      </c>
      <c r="H233" s="25" t="s">
        <v>127</v>
      </c>
      <c r="I233" s="26"/>
      <c r="J233" s="26"/>
      <c r="K233" s="26"/>
    </row>
    <row r="234" customFormat="false" ht="54" hidden="false" customHeight="true" outlineLevel="0" collapsed="false">
      <c r="A234" s="24" t="n">
        <v>217</v>
      </c>
      <c r="B234" s="25" t="s">
        <v>66</v>
      </c>
      <c r="C234" s="25"/>
      <c r="D234" s="25" t="s">
        <v>312</v>
      </c>
      <c r="E234" s="25"/>
      <c r="F234" s="25" t="s">
        <v>675</v>
      </c>
      <c r="G234" s="25" t="s">
        <v>676</v>
      </c>
      <c r="H234" s="25" t="s">
        <v>677</v>
      </c>
      <c r="I234" s="26"/>
      <c r="J234" s="26"/>
      <c r="K234" s="26"/>
    </row>
    <row r="235" customFormat="false" ht="54" hidden="false" customHeight="true" outlineLevel="0" collapsed="false">
      <c r="A235" s="24" t="n">
        <v>218</v>
      </c>
      <c r="B235" s="25" t="s">
        <v>66</v>
      </c>
      <c r="C235" s="25"/>
      <c r="D235" s="25" t="s">
        <v>678</v>
      </c>
      <c r="E235" s="25" t="s">
        <v>679</v>
      </c>
      <c r="F235" s="25" t="s">
        <v>680</v>
      </c>
      <c r="G235" s="25" t="s">
        <v>681</v>
      </c>
      <c r="H235" s="25"/>
      <c r="I235" s="26"/>
      <c r="J235" s="26"/>
      <c r="K235" s="26"/>
    </row>
    <row r="236" customFormat="false" ht="54" hidden="false" customHeight="true" outlineLevel="0" collapsed="false">
      <c r="A236" s="24" t="n">
        <v>219</v>
      </c>
      <c r="B236" s="25" t="s">
        <v>66</v>
      </c>
      <c r="C236" s="25"/>
      <c r="D236" s="25" t="s">
        <v>682</v>
      </c>
      <c r="E236" s="25"/>
      <c r="F236" s="25" t="s">
        <v>683</v>
      </c>
      <c r="G236" s="25" t="s">
        <v>684</v>
      </c>
      <c r="H236" s="25" t="s">
        <v>685</v>
      </c>
      <c r="I236" s="26"/>
      <c r="J236" s="26"/>
      <c r="K236" s="26"/>
    </row>
    <row r="237" customFormat="false" ht="54" hidden="false" customHeight="true" outlineLevel="0" collapsed="false">
      <c r="A237" s="24" t="n">
        <v>220</v>
      </c>
      <c r="B237" s="25" t="s">
        <v>66</v>
      </c>
      <c r="C237" s="25"/>
      <c r="D237" s="25" t="s">
        <v>686</v>
      </c>
      <c r="E237" s="25"/>
      <c r="F237" s="25" t="s">
        <v>687</v>
      </c>
      <c r="G237" s="25" t="s">
        <v>688</v>
      </c>
      <c r="H237" s="25" t="s">
        <v>685</v>
      </c>
      <c r="I237" s="26"/>
      <c r="J237" s="26"/>
      <c r="K237" s="26"/>
    </row>
    <row r="238" customFormat="false" ht="54" hidden="false" customHeight="true" outlineLevel="0" collapsed="false">
      <c r="A238" s="24" t="n">
        <v>221</v>
      </c>
      <c r="B238" s="25" t="s">
        <v>66</v>
      </c>
      <c r="C238" s="25"/>
      <c r="D238" s="25" t="s">
        <v>689</v>
      </c>
      <c r="E238" s="25"/>
      <c r="F238" s="25" t="s">
        <v>690</v>
      </c>
      <c r="G238" s="25" t="s">
        <v>691</v>
      </c>
      <c r="H238" s="25" t="s">
        <v>685</v>
      </c>
      <c r="I238" s="26"/>
      <c r="J238" s="26"/>
      <c r="K238" s="26"/>
    </row>
    <row r="239" customFormat="false" ht="54" hidden="false" customHeight="true" outlineLevel="0" collapsed="false">
      <c r="A239" s="24" t="n">
        <v>222</v>
      </c>
      <c r="B239" s="25" t="s">
        <v>66</v>
      </c>
      <c r="C239" s="25"/>
      <c r="D239" s="25" t="s">
        <v>692</v>
      </c>
      <c r="E239" s="25"/>
      <c r="F239" s="25" t="s">
        <v>693</v>
      </c>
      <c r="G239" s="25" t="s">
        <v>694</v>
      </c>
      <c r="H239" s="25" t="s">
        <v>685</v>
      </c>
      <c r="I239" s="26"/>
      <c r="J239" s="26"/>
      <c r="K239" s="26"/>
    </row>
    <row r="240" customFormat="false" ht="54" hidden="false" customHeight="true" outlineLevel="0" collapsed="false">
      <c r="A240" s="24" t="n">
        <v>223</v>
      </c>
      <c r="B240" s="25" t="s">
        <v>66</v>
      </c>
      <c r="C240" s="25"/>
      <c r="D240" s="25" t="s">
        <v>695</v>
      </c>
      <c r="E240" s="25"/>
      <c r="F240" s="25" t="s">
        <v>696</v>
      </c>
      <c r="G240" s="25" t="s">
        <v>697</v>
      </c>
      <c r="H240" s="25" t="s">
        <v>685</v>
      </c>
      <c r="I240" s="26"/>
      <c r="J240" s="26"/>
      <c r="K240" s="26"/>
    </row>
    <row r="241" customFormat="false" ht="67.5" hidden="false" customHeight="true" outlineLevel="0" collapsed="false">
      <c r="A241" s="27" t="s">
        <v>698</v>
      </c>
      <c r="B241" s="28" t="s">
        <v>67</v>
      </c>
      <c r="C241" s="28" t="s">
        <v>699</v>
      </c>
      <c r="D241" s="28" t="s">
        <v>700</v>
      </c>
      <c r="E241" s="28"/>
      <c r="F241" s="28" t="s">
        <v>701</v>
      </c>
      <c r="G241" s="28" t="s">
        <v>701</v>
      </c>
      <c r="H241" s="28" t="s">
        <v>702</v>
      </c>
      <c r="I241" s="28"/>
      <c r="J241" s="28"/>
      <c r="K241" s="26"/>
    </row>
    <row r="242" customFormat="false" ht="40.5" hidden="false" customHeight="true" outlineLevel="0" collapsed="false">
      <c r="A242" s="32" t="n">
        <v>224</v>
      </c>
      <c r="B242" s="33" t="s">
        <v>67</v>
      </c>
      <c r="C242" s="33" t="s">
        <v>703</v>
      </c>
      <c r="D242" s="33" t="s">
        <v>78</v>
      </c>
      <c r="E242" s="33"/>
      <c r="F242" s="33" t="s">
        <v>704</v>
      </c>
      <c r="G242" s="33" t="s">
        <v>705</v>
      </c>
      <c r="H242" s="33"/>
      <c r="I242" s="26"/>
      <c r="J242" s="26"/>
      <c r="K242" s="26"/>
    </row>
    <row r="243" customFormat="false" ht="40.5" hidden="false" customHeight="true" outlineLevel="0" collapsed="false">
      <c r="A243" s="32" t="n">
        <v>225</v>
      </c>
      <c r="B243" s="33" t="s">
        <v>67</v>
      </c>
      <c r="C243" s="33" t="s">
        <v>703</v>
      </c>
      <c r="D243" s="33" t="s">
        <v>706</v>
      </c>
      <c r="E243" s="33"/>
      <c r="F243" s="33" t="s">
        <v>707</v>
      </c>
      <c r="G243" s="33" t="s">
        <v>708</v>
      </c>
      <c r="H243" s="33"/>
      <c r="I243" s="26"/>
      <c r="J243" s="26"/>
      <c r="K243" s="26"/>
    </row>
    <row r="244" customFormat="false" ht="40.5" hidden="false" customHeight="true" outlineLevel="0" collapsed="false">
      <c r="A244" s="32" t="n">
        <v>226</v>
      </c>
      <c r="B244" s="33" t="s">
        <v>67</v>
      </c>
      <c r="C244" s="33" t="s">
        <v>703</v>
      </c>
      <c r="D244" s="33" t="s">
        <v>709</v>
      </c>
      <c r="E244" s="33"/>
      <c r="F244" s="33" t="s">
        <v>710</v>
      </c>
      <c r="G244" s="33" t="s">
        <v>711</v>
      </c>
      <c r="H244" s="33"/>
      <c r="I244" s="26"/>
      <c r="J244" s="26"/>
      <c r="K244" s="26"/>
    </row>
    <row r="245" customFormat="false" ht="40.5" hidden="false" customHeight="true" outlineLevel="0" collapsed="false">
      <c r="A245" s="32" t="n">
        <v>227</v>
      </c>
      <c r="B245" s="33" t="s">
        <v>67</v>
      </c>
      <c r="C245" s="33" t="s">
        <v>703</v>
      </c>
      <c r="D245" s="33" t="s">
        <v>712</v>
      </c>
      <c r="E245" s="33"/>
      <c r="F245" s="33" t="s">
        <v>713</v>
      </c>
      <c r="G245" s="33" t="s">
        <v>714</v>
      </c>
      <c r="H245" s="33"/>
      <c r="I245" s="26"/>
      <c r="J245" s="26"/>
      <c r="K245" s="26"/>
    </row>
    <row r="246" customFormat="false" ht="40.5" hidden="false" customHeight="true" outlineLevel="0" collapsed="false">
      <c r="A246" s="32" t="n">
        <v>228</v>
      </c>
      <c r="B246" s="33" t="s">
        <v>67</v>
      </c>
      <c r="C246" s="33" t="s">
        <v>703</v>
      </c>
      <c r="D246" s="33" t="s">
        <v>715</v>
      </c>
      <c r="E246" s="33"/>
      <c r="F246" s="33" t="s">
        <v>716</v>
      </c>
      <c r="G246" s="33" t="s">
        <v>717</v>
      </c>
      <c r="H246" s="33" t="s">
        <v>718</v>
      </c>
      <c r="I246" s="26"/>
      <c r="J246" s="26"/>
      <c r="K246" s="26"/>
    </row>
    <row r="247" customFormat="false" ht="67.5" hidden="false" customHeight="true" outlineLevel="0" collapsed="false">
      <c r="A247" s="32" t="n">
        <v>229</v>
      </c>
      <c r="B247" s="33" t="s">
        <v>67</v>
      </c>
      <c r="C247" s="33" t="s">
        <v>703</v>
      </c>
      <c r="D247" s="33" t="s">
        <v>719</v>
      </c>
      <c r="E247" s="33"/>
      <c r="F247" s="33" t="s">
        <v>720</v>
      </c>
      <c r="G247" s="33" t="s">
        <v>721</v>
      </c>
      <c r="H247" s="33" t="s">
        <v>722</v>
      </c>
      <c r="I247" s="26"/>
      <c r="J247" s="26"/>
      <c r="K247" s="26"/>
    </row>
    <row r="248" customFormat="false" ht="40.5" hidden="false" customHeight="true" outlineLevel="0" collapsed="false">
      <c r="A248" s="32" t="n">
        <v>230</v>
      </c>
      <c r="B248" s="33" t="s">
        <v>67</v>
      </c>
      <c r="C248" s="33" t="s">
        <v>703</v>
      </c>
      <c r="D248" s="33" t="s">
        <v>723</v>
      </c>
      <c r="E248" s="33" t="s">
        <v>724</v>
      </c>
      <c r="F248" s="33" t="s">
        <v>725</v>
      </c>
      <c r="G248" s="33" t="s">
        <v>726</v>
      </c>
      <c r="H248" s="33"/>
      <c r="I248" s="26"/>
      <c r="J248" s="26"/>
      <c r="K248" s="26"/>
    </row>
    <row r="249" customFormat="false" ht="40.5" hidden="false" customHeight="true" outlineLevel="0" collapsed="false">
      <c r="A249" s="32" t="n">
        <v>231</v>
      </c>
      <c r="B249" s="33" t="s">
        <v>67</v>
      </c>
      <c r="C249" s="33" t="s">
        <v>727</v>
      </c>
      <c r="D249" s="33" t="s">
        <v>728</v>
      </c>
      <c r="E249" s="33"/>
      <c r="F249" s="33" t="s">
        <v>729</v>
      </c>
      <c r="G249" s="34" t="s">
        <v>729</v>
      </c>
      <c r="H249" s="33" t="s">
        <v>730</v>
      </c>
      <c r="I249" s="26"/>
      <c r="J249" s="26"/>
      <c r="K249" s="26"/>
    </row>
    <row r="250" customFormat="false" ht="40.5" hidden="false" customHeight="true" outlineLevel="0" collapsed="false">
      <c r="A250" s="32" t="n">
        <v>232</v>
      </c>
      <c r="B250" s="33" t="s">
        <v>67</v>
      </c>
      <c r="C250" s="33" t="s">
        <v>727</v>
      </c>
      <c r="D250" s="33" t="s">
        <v>731</v>
      </c>
      <c r="E250" s="33"/>
      <c r="F250" s="33" t="s">
        <v>732</v>
      </c>
      <c r="G250" s="33" t="s">
        <v>733</v>
      </c>
      <c r="H250" s="33" t="s">
        <v>734</v>
      </c>
      <c r="I250" s="26"/>
      <c r="J250" s="26"/>
      <c r="K250" s="26"/>
    </row>
    <row r="251" customFormat="false" ht="40.5" hidden="false" customHeight="true" outlineLevel="0" collapsed="false">
      <c r="A251" s="32" t="n">
        <v>233</v>
      </c>
      <c r="B251" s="33" t="s">
        <v>67</v>
      </c>
      <c r="C251" s="33" t="s">
        <v>727</v>
      </c>
      <c r="D251" s="33" t="s">
        <v>735</v>
      </c>
      <c r="E251" s="33"/>
      <c r="F251" s="33" t="s">
        <v>736</v>
      </c>
      <c r="G251" s="33" t="s">
        <v>737</v>
      </c>
      <c r="H251" s="33" t="s">
        <v>734</v>
      </c>
      <c r="I251" s="26"/>
      <c r="J251" s="26"/>
      <c r="K251" s="26"/>
    </row>
    <row r="252" customFormat="false" ht="40.5" hidden="false" customHeight="true" outlineLevel="0" collapsed="false">
      <c r="A252" s="32" t="n">
        <v>234</v>
      </c>
      <c r="B252" s="33" t="s">
        <v>67</v>
      </c>
      <c r="C252" s="33" t="s">
        <v>727</v>
      </c>
      <c r="D252" s="33" t="s">
        <v>738</v>
      </c>
      <c r="E252" s="33"/>
      <c r="F252" s="33" t="s">
        <v>739</v>
      </c>
      <c r="G252" s="33" t="s">
        <v>740</v>
      </c>
      <c r="H252" s="33" t="s">
        <v>734</v>
      </c>
      <c r="I252" s="26"/>
      <c r="J252" s="26"/>
      <c r="K252" s="26"/>
    </row>
    <row r="253" customFormat="false" ht="40.5" hidden="false" customHeight="true" outlineLevel="0" collapsed="false">
      <c r="A253" s="32" t="n">
        <v>235</v>
      </c>
      <c r="B253" s="33" t="s">
        <v>67</v>
      </c>
      <c r="C253" s="33" t="s">
        <v>727</v>
      </c>
      <c r="D253" s="33" t="s">
        <v>741</v>
      </c>
      <c r="E253" s="33"/>
      <c r="F253" s="33" t="s">
        <v>742</v>
      </c>
      <c r="G253" s="33" t="s">
        <v>743</v>
      </c>
      <c r="H253" s="33" t="s">
        <v>734</v>
      </c>
      <c r="I253" s="26"/>
      <c r="J253" s="26"/>
      <c r="K253" s="26"/>
    </row>
    <row r="254" customFormat="false" ht="40.5" hidden="false" customHeight="true" outlineLevel="0" collapsed="false">
      <c r="A254" s="32" t="n">
        <v>236</v>
      </c>
      <c r="B254" s="33" t="s">
        <v>67</v>
      </c>
      <c r="C254" s="33" t="s">
        <v>727</v>
      </c>
      <c r="D254" s="33" t="s">
        <v>744</v>
      </c>
      <c r="E254" s="33"/>
      <c r="F254" s="33" t="s">
        <v>745</v>
      </c>
      <c r="G254" s="33" t="s">
        <v>746</v>
      </c>
      <c r="H254" s="33" t="s">
        <v>734</v>
      </c>
      <c r="I254" s="26"/>
      <c r="J254" s="26"/>
      <c r="K254" s="26"/>
    </row>
    <row r="255" customFormat="false" ht="40.5" hidden="false" customHeight="true" outlineLevel="0" collapsed="false">
      <c r="A255" s="32" t="n">
        <v>237</v>
      </c>
      <c r="B255" s="33" t="s">
        <v>67</v>
      </c>
      <c r="C255" s="33" t="s">
        <v>727</v>
      </c>
      <c r="D255" s="33" t="s">
        <v>747</v>
      </c>
      <c r="E255" s="33"/>
      <c r="F255" s="33" t="s">
        <v>748</v>
      </c>
      <c r="G255" s="33" t="s">
        <v>749</v>
      </c>
      <c r="H255" s="33" t="s">
        <v>734</v>
      </c>
      <c r="I255" s="26"/>
      <c r="J255" s="26"/>
      <c r="K255" s="26"/>
    </row>
    <row r="256" customFormat="false" ht="40.5" hidden="false" customHeight="true" outlineLevel="0" collapsed="false">
      <c r="A256" s="32" t="n">
        <v>238</v>
      </c>
      <c r="B256" s="33" t="s">
        <v>67</v>
      </c>
      <c r="C256" s="33" t="s">
        <v>727</v>
      </c>
      <c r="D256" s="33" t="s">
        <v>750</v>
      </c>
      <c r="E256" s="33"/>
      <c r="F256" s="33" t="s">
        <v>751</v>
      </c>
      <c r="G256" s="33" t="s">
        <v>752</v>
      </c>
      <c r="H256" s="33" t="s">
        <v>734</v>
      </c>
      <c r="I256" s="26"/>
      <c r="J256" s="26"/>
      <c r="K256" s="26"/>
    </row>
    <row r="257" customFormat="false" ht="40.5" hidden="false" customHeight="true" outlineLevel="0" collapsed="false">
      <c r="A257" s="32" t="n">
        <v>239</v>
      </c>
      <c r="B257" s="33" t="s">
        <v>67</v>
      </c>
      <c r="C257" s="33" t="s">
        <v>753</v>
      </c>
      <c r="D257" s="33" t="s">
        <v>754</v>
      </c>
      <c r="E257" s="33" t="s">
        <v>755</v>
      </c>
      <c r="F257" s="33" t="s">
        <v>313</v>
      </c>
      <c r="G257" s="33" t="s">
        <v>314</v>
      </c>
      <c r="H257" s="33"/>
      <c r="I257" s="26"/>
      <c r="J257" s="26"/>
      <c r="K257" s="26"/>
    </row>
    <row r="258" customFormat="false" ht="40.5" hidden="false" customHeight="true" outlineLevel="0" collapsed="false">
      <c r="A258" s="32" t="n">
        <v>240</v>
      </c>
      <c r="B258" s="33" t="s">
        <v>67</v>
      </c>
      <c r="C258" s="33" t="s">
        <v>753</v>
      </c>
      <c r="D258" s="33" t="s">
        <v>754</v>
      </c>
      <c r="E258" s="33" t="s">
        <v>756</v>
      </c>
      <c r="F258" s="33" t="s">
        <v>757</v>
      </c>
      <c r="G258" s="33" t="s">
        <v>758</v>
      </c>
      <c r="H258" s="33"/>
      <c r="I258" s="26"/>
      <c r="J258" s="26"/>
      <c r="K258" s="26"/>
    </row>
    <row r="259" customFormat="false" ht="54" hidden="false" customHeight="true" outlineLevel="0" collapsed="false">
      <c r="A259" s="27" t="s">
        <v>759</v>
      </c>
      <c r="B259" s="28" t="s">
        <v>67</v>
      </c>
      <c r="C259" s="28" t="s">
        <v>753</v>
      </c>
      <c r="D259" s="28" t="s">
        <v>760</v>
      </c>
      <c r="E259" s="28" t="s">
        <v>761</v>
      </c>
      <c r="F259" s="28" t="s">
        <v>762</v>
      </c>
      <c r="G259" s="28" t="s">
        <v>763</v>
      </c>
      <c r="H259" s="28" t="s">
        <v>764</v>
      </c>
      <c r="I259" s="28"/>
      <c r="J259" s="28"/>
      <c r="K259" s="26"/>
    </row>
    <row r="260" customFormat="false" ht="40.5" hidden="false" customHeight="true" outlineLevel="0" collapsed="false">
      <c r="A260" s="32" t="n">
        <v>241</v>
      </c>
      <c r="B260" s="33" t="s">
        <v>67</v>
      </c>
      <c r="C260" s="33" t="s">
        <v>753</v>
      </c>
      <c r="D260" s="33" t="s">
        <v>765</v>
      </c>
      <c r="E260" s="33" t="s">
        <v>761</v>
      </c>
      <c r="F260" s="33" t="s">
        <v>766</v>
      </c>
      <c r="G260" s="33" t="s">
        <v>767</v>
      </c>
      <c r="H260" s="33" t="s">
        <v>768</v>
      </c>
      <c r="I260" s="26"/>
      <c r="J260" s="26"/>
      <c r="K260" s="26"/>
    </row>
    <row r="261" customFormat="false" ht="40.5" hidden="false" customHeight="true" outlineLevel="0" collapsed="false">
      <c r="A261" s="32" t="n">
        <v>242</v>
      </c>
      <c r="B261" s="33" t="s">
        <v>67</v>
      </c>
      <c r="C261" s="33" t="s">
        <v>753</v>
      </c>
      <c r="D261" s="33" t="s">
        <v>769</v>
      </c>
      <c r="E261" s="33" t="s">
        <v>770</v>
      </c>
      <c r="F261" s="33" t="s">
        <v>771</v>
      </c>
      <c r="G261" s="33" t="s">
        <v>772</v>
      </c>
      <c r="H261" s="33" t="s">
        <v>251</v>
      </c>
      <c r="I261" s="26"/>
      <c r="J261" s="26"/>
      <c r="K261" s="26"/>
    </row>
    <row r="262" customFormat="false" ht="40.5" hidden="false" customHeight="true" outlineLevel="0" collapsed="false">
      <c r="A262" s="32" t="n">
        <v>243</v>
      </c>
      <c r="B262" s="33" t="s">
        <v>67</v>
      </c>
      <c r="C262" s="33" t="s">
        <v>753</v>
      </c>
      <c r="D262" s="33" t="s">
        <v>773</v>
      </c>
      <c r="E262" s="33" t="s">
        <v>761</v>
      </c>
      <c r="F262" s="33" t="s">
        <v>774</v>
      </c>
      <c r="G262" s="33" t="s">
        <v>775</v>
      </c>
      <c r="H262" s="33" t="s">
        <v>776</v>
      </c>
      <c r="I262" s="26"/>
      <c r="J262" s="26"/>
      <c r="K262" s="26"/>
    </row>
    <row r="263" customFormat="false" ht="40.5" hidden="false" customHeight="true" outlineLevel="0" collapsed="false">
      <c r="A263" s="32" t="n">
        <v>244</v>
      </c>
      <c r="B263" s="33" t="s">
        <v>67</v>
      </c>
      <c r="C263" s="33" t="s">
        <v>753</v>
      </c>
      <c r="D263" s="33" t="s">
        <v>777</v>
      </c>
      <c r="E263" s="33" t="s">
        <v>761</v>
      </c>
      <c r="F263" s="33" t="s">
        <v>778</v>
      </c>
      <c r="G263" s="33" t="s">
        <v>779</v>
      </c>
      <c r="H263" s="33" t="s">
        <v>780</v>
      </c>
      <c r="I263" s="26"/>
      <c r="J263" s="26"/>
      <c r="K263" s="26"/>
    </row>
    <row r="264" customFormat="false" ht="94.5" hidden="false" customHeight="true" outlineLevel="0" collapsed="false">
      <c r="A264" s="32" t="n">
        <v>245</v>
      </c>
      <c r="B264" s="33" t="s">
        <v>67</v>
      </c>
      <c r="C264" s="33" t="s">
        <v>753</v>
      </c>
      <c r="D264" s="33" t="s">
        <v>781</v>
      </c>
      <c r="E264" s="33" t="s">
        <v>782</v>
      </c>
      <c r="F264" s="33" t="s">
        <v>783</v>
      </c>
      <c r="G264" s="33" t="s">
        <v>784</v>
      </c>
      <c r="H264" s="33" t="s">
        <v>785</v>
      </c>
      <c r="I264" s="26"/>
      <c r="J264" s="26"/>
      <c r="K264" s="26"/>
    </row>
    <row r="265" customFormat="false" ht="40.5" hidden="false" customHeight="true" outlineLevel="0" collapsed="false">
      <c r="A265" s="32" t="n">
        <v>246</v>
      </c>
      <c r="B265" s="33" t="s">
        <v>67</v>
      </c>
      <c r="C265" s="33" t="s">
        <v>753</v>
      </c>
      <c r="D265" s="33" t="s">
        <v>781</v>
      </c>
      <c r="E265" s="33" t="s">
        <v>786</v>
      </c>
      <c r="F265" s="33" t="s">
        <v>787</v>
      </c>
      <c r="G265" s="33" t="s">
        <v>788</v>
      </c>
      <c r="H265" s="33"/>
      <c r="I265" s="26"/>
      <c r="J265" s="26"/>
      <c r="K265" s="26"/>
    </row>
    <row r="266" customFormat="false" ht="94.5" hidden="false" customHeight="true" outlineLevel="0" collapsed="false">
      <c r="A266" s="32" t="n">
        <v>247</v>
      </c>
      <c r="B266" s="33" t="s">
        <v>67</v>
      </c>
      <c r="C266" s="33" t="s">
        <v>753</v>
      </c>
      <c r="D266" s="33" t="s">
        <v>781</v>
      </c>
      <c r="E266" s="33" t="s">
        <v>789</v>
      </c>
      <c r="F266" s="33" t="s">
        <v>790</v>
      </c>
      <c r="G266" s="33" t="s">
        <v>791</v>
      </c>
      <c r="H266" s="33" t="s">
        <v>785</v>
      </c>
      <c r="I266" s="26"/>
      <c r="J266" s="26"/>
      <c r="K266" s="26"/>
    </row>
    <row r="267" customFormat="false" ht="40.5" hidden="false" customHeight="true" outlineLevel="0" collapsed="false">
      <c r="A267" s="32" t="n">
        <v>248</v>
      </c>
      <c r="B267" s="33" t="s">
        <v>67</v>
      </c>
      <c r="C267" s="33" t="s">
        <v>753</v>
      </c>
      <c r="D267" s="33" t="s">
        <v>781</v>
      </c>
      <c r="E267" s="33" t="s">
        <v>792</v>
      </c>
      <c r="F267" s="33" t="s">
        <v>793</v>
      </c>
      <c r="G267" s="33" t="s">
        <v>794</v>
      </c>
      <c r="H267" s="33"/>
      <c r="I267" s="26"/>
      <c r="J267" s="26"/>
      <c r="K267" s="26"/>
    </row>
    <row r="268" customFormat="false" ht="94.5" hidden="false" customHeight="true" outlineLevel="0" collapsed="false">
      <c r="A268" s="32" t="n">
        <v>249</v>
      </c>
      <c r="B268" s="33" t="s">
        <v>67</v>
      </c>
      <c r="C268" s="33" t="s">
        <v>753</v>
      </c>
      <c r="D268" s="33" t="s">
        <v>781</v>
      </c>
      <c r="E268" s="33" t="s">
        <v>795</v>
      </c>
      <c r="F268" s="33" t="s">
        <v>796</v>
      </c>
      <c r="G268" s="33" t="s">
        <v>797</v>
      </c>
      <c r="H268" s="33" t="s">
        <v>785</v>
      </c>
      <c r="I268" s="26"/>
      <c r="J268" s="26"/>
      <c r="K268" s="26"/>
    </row>
    <row r="269" customFormat="false" ht="40.5" hidden="false" customHeight="true" outlineLevel="0" collapsed="false">
      <c r="A269" s="32" t="n">
        <v>250</v>
      </c>
      <c r="B269" s="33" t="s">
        <v>67</v>
      </c>
      <c r="C269" s="33" t="s">
        <v>753</v>
      </c>
      <c r="D269" s="33" t="s">
        <v>781</v>
      </c>
      <c r="E269" s="33" t="s">
        <v>798</v>
      </c>
      <c r="F269" s="33" t="s">
        <v>799</v>
      </c>
      <c r="G269" s="33" t="s">
        <v>800</v>
      </c>
      <c r="H269" s="33"/>
      <c r="I269" s="26"/>
      <c r="J269" s="26"/>
      <c r="K269" s="26"/>
    </row>
    <row r="270" customFormat="false" ht="40.5" hidden="false" customHeight="true" outlineLevel="0" collapsed="false">
      <c r="A270" s="32" t="n">
        <v>251</v>
      </c>
      <c r="B270" s="33" t="s">
        <v>67</v>
      </c>
      <c r="C270" s="33" t="s">
        <v>753</v>
      </c>
      <c r="D270" s="33" t="s">
        <v>801</v>
      </c>
      <c r="E270" s="33"/>
      <c r="F270" s="33" t="s">
        <v>802</v>
      </c>
      <c r="G270" s="33" t="s">
        <v>803</v>
      </c>
      <c r="H270" s="33"/>
      <c r="I270" s="26"/>
      <c r="J270" s="26"/>
      <c r="K270" s="26"/>
    </row>
    <row r="271" customFormat="false" ht="40.5" hidden="false" customHeight="true" outlineLevel="0" collapsed="false">
      <c r="A271" s="32" t="n">
        <v>252</v>
      </c>
      <c r="B271" s="33" t="s">
        <v>67</v>
      </c>
      <c r="C271" s="33" t="s">
        <v>753</v>
      </c>
      <c r="D271" s="33" t="s">
        <v>804</v>
      </c>
      <c r="E271" s="33"/>
      <c r="F271" s="33" t="s">
        <v>805</v>
      </c>
      <c r="G271" s="33" t="s">
        <v>806</v>
      </c>
      <c r="H271" s="33" t="s">
        <v>807</v>
      </c>
      <c r="I271" s="26"/>
      <c r="J271" s="26"/>
      <c r="K271" s="26"/>
    </row>
    <row r="272" customFormat="false" ht="40.5" hidden="false" customHeight="true" outlineLevel="0" collapsed="false">
      <c r="A272" s="32" t="n">
        <v>253</v>
      </c>
      <c r="B272" s="33" t="s">
        <v>67</v>
      </c>
      <c r="C272" s="33" t="s">
        <v>753</v>
      </c>
      <c r="D272" s="33" t="s">
        <v>808</v>
      </c>
      <c r="E272" s="33" t="s">
        <v>809</v>
      </c>
      <c r="F272" s="33" t="s">
        <v>810</v>
      </c>
      <c r="G272" s="33" t="s">
        <v>811</v>
      </c>
      <c r="H272" s="33"/>
      <c r="I272" s="26"/>
      <c r="J272" s="26"/>
      <c r="K272" s="26"/>
    </row>
    <row r="273" customFormat="false" ht="40.5" hidden="false" customHeight="true" outlineLevel="0" collapsed="false">
      <c r="A273" s="32" t="n">
        <v>254</v>
      </c>
      <c r="B273" s="33" t="s">
        <v>67</v>
      </c>
      <c r="C273" s="33" t="s">
        <v>753</v>
      </c>
      <c r="D273" s="33" t="s">
        <v>812</v>
      </c>
      <c r="E273" s="33"/>
      <c r="F273" s="33" t="s">
        <v>813</v>
      </c>
      <c r="G273" s="33" t="s">
        <v>814</v>
      </c>
      <c r="H273" s="33" t="s">
        <v>815</v>
      </c>
      <c r="I273" s="26"/>
      <c r="J273" s="26"/>
      <c r="K273" s="26"/>
    </row>
    <row r="274" customFormat="false" ht="40.5" hidden="false" customHeight="true" outlineLevel="0" collapsed="false">
      <c r="A274" s="32" t="n">
        <v>255</v>
      </c>
      <c r="B274" s="33" t="s">
        <v>67</v>
      </c>
      <c r="C274" s="33" t="s">
        <v>753</v>
      </c>
      <c r="D274" s="33" t="s">
        <v>816</v>
      </c>
      <c r="E274" s="33"/>
      <c r="F274" s="33" t="s">
        <v>817</v>
      </c>
      <c r="G274" s="33" t="s">
        <v>818</v>
      </c>
      <c r="H274" s="33" t="s">
        <v>815</v>
      </c>
      <c r="I274" s="26"/>
      <c r="J274" s="26"/>
      <c r="K274" s="26"/>
    </row>
    <row r="275" customFormat="false" ht="40.5" hidden="false" customHeight="true" outlineLevel="0" collapsed="false">
      <c r="A275" s="32" t="n">
        <v>256</v>
      </c>
      <c r="B275" s="33" t="s">
        <v>67</v>
      </c>
      <c r="C275" s="33" t="s">
        <v>753</v>
      </c>
      <c r="D275" s="33" t="s">
        <v>819</v>
      </c>
      <c r="E275" s="33"/>
      <c r="F275" s="33" t="s">
        <v>820</v>
      </c>
      <c r="G275" s="33" t="s">
        <v>821</v>
      </c>
      <c r="H275" s="33" t="s">
        <v>815</v>
      </c>
      <c r="I275" s="26"/>
      <c r="J275" s="26"/>
      <c r="K275" s="26"/>
    </row>
    <row r="276" customFormat="false" ht="54" hidden="false" customHeight="true" outlineLevel="0" collapsed="false">
      <c r="A276" s="32" t="n">
        <v>257</v>
      </c>
      <c r="B276" s="33" t="s">
        <v>67</v>
      </c>
      <c r="C276" s="33" t="s">
        <v>753</v>
      </c>
      <c r="D276" s="33" t="s">
        <v>822</v>
      </c>
      <c r="E276" s="33"/>
      <c r="F276" s="33" t="s">
        <v>823</v>
      </c>
      <c r="G276" s="34" t="s">
        <v>823</v>
      </c>
      <c r="H276" s="33" t="s">
        <v>824</v>
      </c>
      <c r="I276" s="26"/>
      <c r="J276" s="26"/>
      <c r="K276" s="26"/>
    </row>
    <row r="277" customFormat="false" ht="40.5" hidden="false" customHeight="true" outlineLevel="0" collapsed="false">
      <c r="A277" s="32" t="n">
        <v>258</v>
      </c>
      <c r="B277" s="33" t="s">
        <v>67</v>
      </c>
      <c r="C277" s="33" t="s">
        <v>753</v>
      </c>
      <c r="D277" s="33" t="s">
        <v>825</v>
      </c>
      <c r="E277" s="33"/>
      <c r="F277" s="33" t="s">
        <v>826</v>
      </c>
      <c r="G277" s="33" t="s">
        <v>827</v>
      </c>
      <c r="H277" s="33" t="s">
        <v>828</v>
      </c>
      <c r="I277" s="26"/>
      <c r="J277" s="26"/>
      <c r="K277" s="26"/>
    </row>
    <row r="278" customFormat="false" ht="94.5" hidden="false" customHeight="true" outlineLevel="0" collapsed="false">
      <c r="A278" s="32" t="n">
        <v>259</v>
      </c>
      <c r="B278" s="33" t="s">
        <v>67</v>
      </c>
      <c r="C278" s="33" t="s">
        <v>753</v>
      </c>
      <c r="D278" s="33" t="s">
        <v>829</v>
      </c>
      <c r="E278" s="33" t="s">
        <v>761</v>
      </c>
      <c r="F278" s="33" t="s">
        <v>830</v>
      </c>
      <c r="G278" s="33" t="s">
        <v>831</v>
      </c>
      <c r="H278" s="33" t="s">
        <v>785</v>
      </c>
      <c r="I278" s="26"/>
      <c r="J278" s="26"/>
      <c r="K278" s="26"/>
    </row>
    <row r="279" customFormat="false" ht="94.5" hidden="false" customHeight="true" outlineLevel="0" collapsed="false">
      <c r="A279" s="32" t="n">
        <v>260</v>
      </c>
      <c r="B279" s="33" t="s">
        <v>67</v>
      </c>
      <c r="C279" s="33" t="s">
        <v>753</v>
      </c>
      <c r="D279" s="33" t="s">
        <v>829</v>
      </c>
      <c r="E279" s="33" t="s">
        <v>832</v>
      </c>
      <c r="F279" s="33" t="s">
        <v>833</v>
      </c>
      <c r="G279" s="33" t="s">
        <v>834</v>
      </c>
      <c r="H279" s="33" t="s">
        <v>785</v>
      </c>
      <c r="I279" s="26"/>
      <c r="J279" s="26"/>
      <c r="K279" s="26"/>
    </row>
    <row r="280" customFormat="false" ht="94.5" hidden="false" customHeight="true" outlineLevel="0" collapsed="false">
      <c r="A280" s="32" t="n">
        <v>261</v>
      </c>
      <c r="B280" s="33" t="s">
        <v>67</v>
      </c>
      <c r="C280" s="33" t="s">
        <v>753</v>
      </c>
      <c r="D280" s="33" t="s">
        <v>829</v>
      </c>
      <c r="E280" s="33" t="s">
        <v>835</v>
      </c>
      <c r="F280" s="33" t="s">
        <v>836</v>
      </c>
      <c r="G280" s="33" t="s">
        <v>837</v>
      </c>
      <c r="H280" s="33" t="s">
        <v>785</v>
      </c>
      <c r="I280" s="26"/>
      <c r="J280" s="26"/>
      <c r="K280" s="26"/>
    </row>
    <row r="281" customFormat="false" ht="94.5" hidden="false" customHeight="true" outlineLevel="0" collapsed="false">
      <c r="A281" s="32" t="n">
        <v>262</v>
      </c>
      <c r="B281" s="33" t="s">
        <v>67</v>
      </c>
      <c r="C281" s="33" t="s">
        <v>753</v>
      </c>
      <c r="D281" s="33" t="s">
        <v>829</v>
      </c>
      <c r="E281" s="33" t="s">
        <v>838</v>
      </c>
      <c r="F281" s="33" t="s">
        <v>839</v>
      </c>
      <c r="G281" s="33" t="s">
        <v>840</v>
      </c>
      <c r="H281" s="33" t="s">
        <v>785</v>
      </c>
      <c r="I281" s="26"/>
      <c r="J281" s="26"/>
      <c r="K281" s="26"/>
    </row>
    <row r="282" customFormat="false" ht="94.5" hidden="false" customHeight="true" outlineLevel="0" collapsed="false">
      <c r="A282" s="32" t="n">
        <v>263</v>
      </c>
      <c r="B282" s="33" t="s">
        <v>67</v>
      </c>
      <c r="C282" s="33" t="s">
        <v>753</v>
      </c>
      <c r="D282" s="33" t="s">
        <v>829</v>
      </c>
      <c r="E282" s="33" t="s">
        <v>841</v>
      </c>
      <c r="F282" s="33" t="s">
        <v>842</v>
      </c>
      <c r="G282" s="33" t="s">
        <v>843</v>
      </c>
      <c r="H282" s="33" t="s">
        <v>785</v>
      </c>
      <c r="I282" s="26"/>
      <c r="J282" s="26"/>
      <c r="K282" s="26"/>
    </row>
    <row r="283" customFormat="false" ht="94.5" hidden="false" customHeight="true" outlineLevel="0" collapsed="false">
      <c r="A283" s="32" t="n">
        <v>264</v>
      </c>
      <c r="B283" s="33" t="s">
        <v>67</v>
      </c>
      <c r="C283" s="33" t="s">
        <v>753</v>
      </c>
      <c r="D283" s="33" t="s">
        <v>829</v>
      </c>
      <c r="E283" s="33" t="s">
        <v>844</v>
      </c>
      <c r="F283" s="33" t="s">
        <v>845</v>
      </c>
      <c r="G283" s="33" t="s">
        <v>846</v>
      </c>
      <c r="H283" s="33" t="s">
        <v>785</v>
      </c>
      <c r="I283" s="26"/>
      <c r="J283" s="26"/>
      <c r="K283" s="26"/>
    </row>
    <row r="284" customFormat="false" ht="94.5" hidden="false" customHeight="true" outlineLevel="0" collapsed="false">
      <c r="A284" s="32" t="n">
        <v>265</v>
      </c>
      <c r="B284" s="33" t="s">
        <v>67</v>
      </c>
      <c r="C284" s="33" t="s">
        <v>753</v>
      </c>
      <c r="D284" s="33" t="s">
        <v>829</v>
      </c>
      <c r="E284" s="33" t="s">
        <v>847</v>
      </c>
      <c r="F284" s="33" t="s">
        <v>848</v>
      </c>
      <c r="G284" s="33" t="s">
        <v>849</v>
      </c>
      <c r="H284" s="33" t="s">
        <v>785</v>
      </c>
      <c r="I284" s="26"/>
      <c r="J284" s="26"/>
      <c r="K284" s="26"/>
    </row>
    <row r="285" customFormat="false" ht="94.5" hidden="false" customHeight="true" outlineLevel="0" collapsed="false">
      <c r="A285" s="32" t="n">
        <v>266</v>
      </c>
      <c r="B285" s="33" t="s">
        <v>67</v>
      </c>
      <c r="C285" s="33" t="s">
        <v>753</v>
      </c>
      <c r="D285" s="33" t="s">
        <v>829</v>
      </c>
      <c r="E285" s="33" t="s">
        <v>850</v>
      </c>
      <c r="F285" s="33" t="s">
        <v>851</v>
      </c>
      <c r="G285" s="33" t="s">
        <v>852</v>
      </c>
      <c r="H285" s="33" t="s">
        <v>785</v>
      </c>
      <c r="I285" s="26"/>
      <c r="J285" s="26"/>
      <c r="K285" s="26"/>
    </row>
    <row r="286" customFormat="false" ht="40.5" hidden="false" customHeight="true" outlineLevel="0" collapsed="false">
      <c r="A286" s="32" t="n">
        <v>267</v>
      </c>
      <c r="B286" s="33" t="s">
        <v>67</v>
      </c>
      <c r="C286" s="33" t="s">
        <v>753</v>
      </c>
      <c r="D286" s="33" t="s">
        <v>829</v>
      </c>
      <c r="E286" s="33" t="s">
        <v>853</v>
      </c>
      <c r="F286" s="33" t="s">
        <v>854</v>
      </c>
      <c r="G286" s="33" t="s">
        <v>855</v>
      </c>
      <c r="H286" s="33"/>
      <c r="I286" s="26"/>
      <c r="J286" s="26"/>
      <c r="K286" s="26"/>
    </row>
    <row r="287" customFormat="false" ht="40.5" hidden="false" customHeight="true" outlineLevel="0" collapsed="false">
      <c r="A287" s="32" t="n">
        <v>268</v>
      </c>
      <c r="B287" s="33" t="s">
        <v>67</v>
      </c>
      <c r="C287" s="33" t="s">
        <v>753</v>
      </c>
      <c r="D287" s="33" t="s">
        <v>856</v>
      </c>
      <c r="E287" s="33" t="s">
        <v>755</v>
      </c>
      <c r="F287" s="33" t="s">
        <v>857</v>
      </c>
      <c r="G287" s="33" t="s">
        <v>858</v>
      </c>
      <c r="H287" s="33"/>
      <c r="I287" s="26"/>
      <c r="J287" s="26"/>
      <c r="K287" s="26"/>
    </row>
    <row r="288" customFormat="false" ht="40.5" hidden="false" customHeight="true" outlineLevel="0" collapsed="false">
      <c r="A288" s="32" t="n">
        <v>269</v>
      </c>
      <c r="B288" s="33" t="s">
        <v>67</v>
      </c>
      <c r="C288" s="33" t="s">
        <v>753</v>
      </c>
      <c r="D288" s="33" t="s">
        <v>856</v>
      </c>
      <c r="E288" s="33" t="s">
        <v>756</v>
      </c>
      <c r="F288" s="33" t="s">
        <v>859</v>
      </c>
      <c r="G288" s="33" t="s">
        <v>860</v>
      </c>
      <c r="H288" s="33"/>
      <c r="I288" s="26"/>
      <c r="J288" s="26"/>
      <c r="K288" s="26"/>
    </row>
    <row r="289" customFormat="false" ht="40.5" hidden="false" customHeight="true" outlineLevel="0" collapsed="false">
      <c r="A289" s="32" t="n">
        <v>270</v>
      </c>
      <c r="B289" s="33" t="s">
        <v>67</v>
      </c>
      <c r="C289" s="33" t="s">
        <v>861</v>
      </c>
      <c r="D289" s="33" t="s">
        <v>754</v>
      </c>
      <c r="E289" s="33"/>
      <c r="F289" s="33" t="s">
        <v>862</v>
      </c>
      <c r="G289" s="33" t="s">
        <v>863</v>
      </c>
      <c r="H289" s="33"/>
      <c r="I289" s="26"/>
      <c r="J289" s="26"/>
      <c r="K289" s="26"/>
    </row>
    <row r="290" customFormat="false" ht="40.5" hidden="false" customHeight="true" outlineLevel="0" collapsed="false">
      <c r="A290" s="27" t="s">
        <v>864</v>
      </c>
      <c r="B290" s="28" t="s">
        <v>67</v>
      </c>
      <c r="C290" s="28" t="s">
        <v>861</v>
      </c>
      <c r="D290" s="28" t="s">
        <v>266</v>
      </c>
      <c r="E290" s="28"/>
      <c r="F290" s="28" t="s">
        <v>865</v>
      </c>
      <c r="G290" s="28" t="s">
        <v>866</v>
      </c>
      <c r="H290" s="28" t="s">
        <v>867</v>
      </c>
      <c r="I290" s="28"/>
      <c r="J290" s="28"/>
      <c r="K290" s="26"/>
    </row>
    <row r="291" customFormat="false" ht="40.5" hidden="false" customHeight="true" outlineLevel="0" collapsed="false">
      <c r="A291" s="32" t="n">
        <v>271</v>
      </c>
      <c r="B291" s="33" t="s">
        <v>67</v>
      </c>
      <c r="C291" s="33" t="s">
        <v>861</v>
      </c>
      <c r="D291" s="33" t="s">
        <v>868</v>
      </c>
      <c r="E291" s="33"/>
      <c r="F291" s="33" t="s">
        <v>869</v>
      </c>
      <c r="G291" s="33" t="s">
        <v>870</v>
      </c>
      <c r="H291" s="33" t="s">
        <v>251</v>
      </c>
      <c r="I291" s="26"/>
      <c r="J291" s="26"/>
      <c r="K291" s="26"/>
    </row>
    <row r="292" customFormat="false" ht="40.5" hidden="false" customHeight="true" outlineLevel="0" collapsed="false">
      <c r="A292" s="32" t="n">
        <v>272</v>
      </c>
      <c r="B292" s="33" t="s">
        <v>67</v>
      </c>
      <c r="C292" s="33" t="s">
        <v>861</v>
      </c>
      <c r="D292" s="33" t="s">
        <v>871</v>
      </c>
      <c r="E292" s="33"/>
      <c r="F292" s="33" t="s">
        <v>872</v>
      </c>
      <c r="G292" s="33" t="s">
        <v>873</v>
      </c>
      <c r="H292" s="33" t="s">
        <v>251</v>
      </c>
      <c r="I292" s="26"/>
      <c r="J292" s="26"/>
      <c r="K292" s="26"/>
    </row>
    <row r="293" customFormat="false" ht="40.5" hidden="false" customHeight="true" outlineLevel="0" collapsed="false">
      <c r="A293" s="32" t="n">
        <v>273</v>
      </c>
      <c r="B293" s="33" t="s">
        <v>67</v>
      </c>
      <c r="C293" s="33" t="s">
        <v>861</v>
      </c>
      <c r="D293" s="33" t="s">
        <v>874</v>
      </c>
      <c r="E293" s="33"/>
      <c r="F293" s="33" t="s">
        <v>875</v>
      </c>
      <c r="G293" s="33" t="s">
        <v>876</v>
      </c>
      <c r="H293" s="33" t="s">
        <v>251</v>
      </c>
      <c r="I293" s="26"/>
      <c r="J293" s="26"/>
      <c r="K293" s="26"/>
    </row>
    <row r="294" customFormat="false" ht="40.5" hidden="false" customHeight="true" outlineLevel="0" collapsed="false">
      <c r="A294" s="32" t="n">
        <v>274</v>
      </c>
      <c r="B294" s="33" t="s">
        <v>67</v>
      </c>
      <c r="C294" s="33" t="s">
        <v>861</v>
      </c>
      <c r="D294" s="33" t="s">
        <v>877</v>
      </c>
      <c r="E294" s="33"/>
      <c r="F294" s="33" t="s">
        <v>878</v>
      </c>
      <c r="G294" s="33" t="s">
        <v>879</v>
      </c>
      <c r="H294" s="33" t="s">
        <v>251</v>
      </c>
      <c r="I294" s="26"/>
      <c r="J294" s="26"/>
      <c r="K294" s="26"/>
    </row>
    <row r="295" customFormat="false" ht="40.5" hidden="false" customHeight="true" outlineLevel="0" collapsed="false">
      <c r="A295" s="32" t="n">
        <v>275</v>
      </c>
      <c r="B295" s="33" t="s">
        <v>67</v>
      </c>
      <c r="C295" s="33" t="s">
        <v>861</v>
      </c>
      <c r="D295" s="33" t="s">
        <v>880</v>
      </c>
      <c r="E295" s="33"/>
      <c r="F295" s="33" t="s">
        <v>881</v>
      </c>
      <c r="G295" s="33" t="s">
        <v>882</v>
      </c>
      <c r="H295" s="33" t="s">
        <v>251</v>
      </c>
      <c r="I295" s="26"/>
      <c r="J295" s="26"/>
      <c r="K295" s="26"/>
    </row>
    <row r="296" customFormat="false" ht="40.5" hidden="false" customHeight="true" outlineLevel="0" collapsed="false">
      <c r="A296" s="32" t="n">
        <v>276</v>
      </c>
      <c r="B296" s="33" t="s">
        <v>67</v>
      </c>
      <c r="C296" s="33" t="s">
        <v>861</v>
      </c>
      <c r="D296" s="33" t="s">
        <v>883</v>
      </c>
      <c r="E296" s="33"/>
      <c r="F296" s="33" t="s">
        <v>884</v>
      </c>
      <c r="G296" s="33" t="s">
        <v>885</v>
      </c>
      <c r="H296" s="33" t="s">
        <v>251</v>
      </c>
      <c r="I296" s="26"/>
      <c r="J296" s="26"/>
      <c r="K296" s="26"/>
    </row>
    <row r="297" customFormat="false" ht="40.5" hidden="false" customHeight="true" outlineLevel="0" collapsed="false">
      <c r="A297" s="32" t="n">
        <v>277</v>
      </c>
      <c r="B297" s="33" t="s">
        <v>67</v>
      </c>
      <c r="C297" s="33" t="s">
        <v>861</v>
      </c>
      <c r="D297" s="33" t="s">
        <v>886</v>
      </c>
      <c r="E297" s="33"/>
      <c r="F297" s="33" t="s">
        <v>227</v>
      </c>
      <c r="G297" s="33" t="s">
        <v>227</v>
      </c>
      <c r="H297" s="33" t="s">
        <v>251</v>
      </c>
      <c r="I297" s="26"/>
      <c r="J297" s="26"/>
      <c r="K297" s="26"/>
    </row>
    <row r="298" customFormat="false" ht="40.5" hidden="false" customHeight="true" outlineLevel="0" collapsed="false">
      <c r="A298" s="32" t="n">
        <v>278</v>
      </c>
      <c r="B298" s="33" t="s">
        <v>67</v>
      </c>
      <c r="C298" s="33" t="s">
        <v>861</v>
      </c>
      <c r="D298" s="33" t="s">
        <v>887</v>
      </c>
      <c r="E298" s="33" t="s">
        <v>761</v>
      </c>
      <c r="F298" s="33" t="s">
        <v>888</v>
      </c>
      <c r="G298" s="33" t="s">
        <v>889</v>
      </c>
      <c r="H298" s="33"/>
      <c r="I298" s="26"/>
      <c r="J298" s="26"/>
      <c r="K298" s="26"/>
    </row>
    <row r="299" customFormat="false" ht="40.5" hidden="false" customHeight="true" outlineLevel="0" collapsed="false">
      <c r="A299" s="32" t="n">
        <v>279</v>
      </c>
      <c r="B299" s="33" t="s">
        <v>67</v>
      </c>
      <c r="C299" s="33" t="s">
        <v>861</v>
      </c>
      <c r="D299" s="33" t="s">
        <v>887</v>
      </c>
      <c r="E299" s="33" t="s">
        <v>890</v>
      </c>
      <c r="F299" s="33" t="s">
        <v>891</v>
      </c>
      <c r="G299" s="33" t="s">
        <v>892</v>
      </c>
      <c r="H299" s="33"/>
      <c r="I299" s="26"/>
      <c r="J299" s="26"/>
      <c r="K299" s="26"/>
    </row>
    <row r="300" customFormat="false" ht="40.5" hidden="false" customHeight="true" outlineLevel="0" collapsed="false">
      <c r="A300" s="32" t="n">
        <v>280</v>
      </c>
      <c r="B300" s="33" t="s">
        <v>67</v>
      </c>
      <c r="C300" s="33" t="s">
        <v>861</v>
      </c>
      <c r="D300" s="33" t="s">
        <v>887</v>
      </c>
      <c r="E300" s="33" t="s">
        <v>893</v>
      </c>
      <c r="F300" s="33" t="s">
        <v>894</v>
      </c>
      <c r="G300" s="33" t="s">
        <v>895</v>
      </c>
      <c r="H300" s="33"/>
      <c r="I300" s="26"/>
      <c r="J300" s="26"/>
      <c r="K300" s="26"/>
    </row>
    <row r="301" customFormat="false" ht="40.5" hidden="false" customHeight="true" outlineLevel="0" collapsed="false">
      <c r="A301" s="32" t="n">
        <v>281</v>
      </c>
      <c r="B301" s="33" t="s">
        <v>67</v>
      </c>
      <c r="C301" s="33" t="s">
        <v>861</v>
      </c>
      <c r="D301" s="33" t="s">
        <v>887</v>
      </c>
      <c r="E301" s="33" t="s">
        <v>896</v>
      </c>
      <c r="F301" s="33" t="s">
        <v>897</v>
      </c>
      <c r="G301" s="33" t="s">
        <v>898</v>
      </c>
      <c r="H301" s="33"/>
      <c r="I301" s="26"/>
      <c r="J301" s="26"/>
      <c r="K301" s="26"/>
    </row>
    <row r="302" customFormat="false" ht="54" hidden="false" customHeight="true" outlineLevel="0" collapsed="false">
      <c r="A302" s="32" t="n">
        <v>282</v>
      </c>
      <c r="B302" s="33" t="s">
        <v>67</v>
      </c>
      <c r="C302" s="33" t="s">
        <v>861</v>
      </c>
      <c r="D302" s="33" t="s">
        <v>899</v>
      </c>
      <c r="E302" s="33" t="s">
        <v>900</v>
      </c>
      <c r="F302" s="33" t="s">
        <v>901</v>
      </c>
      <c r="G302" s="33" t="s">
        <v>902</v>
      </c>
      <c r="H302" s="33"/>
      <c r="I302" s="26"/>
      <c r="J302" s="26"/>
      <c r="K302" s="26"/>
    </row>
    <row r="303" customFormat="false" ht="54" hidden="false" customHeight="true" outlineLevel="0" collapsed="false">
      <c r="A303" s="32" t="n">
        <v>283</v>
      </c>
      <c r="B303" s="33" t="s">
        <v>67</v>
      </c>
      <c r="C303" s="33" t="s">
        <v>861</v>
      </c>
      <c r="D303" s="33" t="s">
        <v>903</v>
      </c>
      <c r="E303" s="33" t="s">
        <v>900</v>
      </c>
      <c r="F303" s="33" t="s">
        <v>904</v>
      </c>
      <c r="G303" s="33" t="s">
        <v>905</v>
      </c>
      <c r="H303" s="33"/>
      <c r="I303" s="26"/>
      <c r="J303" s="26"/>
      <c r="K303" s="26"/>
    </row>
    <row r="304" customFormat="false" ht="54" hidden="false" customHeight="true" outlineLevel="0" collapsed="false">
      <c r="A304" s="32" t="n">
        <v>284</v>
      </c>
      <c r="B304" s="33" t="s">
        <v>67</v>
      </c>
      <c r="C304" s="33" t="s">
        <v>861</v>
      </c>
      <c r="D304" s="33" t="s">
        <v>906</v>
      </c>
      <c r="E304" s="33" t="s">
        <v>900</v>
      </c>
      <c r="F304" s="33" t="s">
        <v>907</v>
      </c>
      <c r="G304" s="33" t="s">
        <v>908</v>
      </c>
      <c r="H304" s="33"/>
      <c r="I304" s="26"/>
      <c r="J304" s="26"/>
      <c r="K304" s="26"/>
    </row>
    <row r="305" customFormat="false" ht="40.5" hidden="false" customHeight="true" outlineLevel="0" collapsed="false">
      <c r="A305" s="32" t="n">
        <v>285</v>
      </c>
      <c r="B305" s="33" t="s">
        <v>67</v>
      </c>
      <c r="C305" s="33" t="s">
        <v>861</v>
      </c>
      <c r="D305" s="33" t="s">
        <v>899</v>
      </c>
      <c r="E305" s="33" t="s">
        <v>896</v>
      </c>
      <c r="F305" s="33" t="s">
        <v>909</v>
      </c>
      <c r="G305" s="33" t="s">
        <v>910</v>
      </c>
      <c r="H305" s="33"/>
      <c r="I305" s="26"/>
      <c r="J305" s="26"/>
      <c r="K305" s="26"/>
    </row>
    <row r="306" customFormat="false" ht="40.5" hidden="false" customHeight="true" outlineLevel="0" collapsed="false">
      <c r="A306" s="32" t="n">
        <v>286</v>
      </c>
      <c r="B306" s="33" t="s">
        <v>67</v>
      </c>
      <c r="C306" s="33" t="s">
        <v>861</v>
      </c>
      <c r="D306" s="33" t="s">
        <v>903</v>
      </c>
      <c r="E306" s="33" t="s">
        <v>896</v>
      </c>
      <c r="F306" s="33" t="s">
        <v>911</v>
      </c>
      <c r="G306" s="33" t="s">
        <v>912</v>
      </c>
      <c r="H306" s="33"/>
      <c r="I306" s="26"/>
      <c r="J306" s="26"/>
      <c r="K306" s="26"/>
    </row>
    <row r="307" customFormat="false" ht="40.5" hidden="false" customHeight="true" outlineLevel="0" collapsed="false">
      <c r="A307" s="32" t="n">
        <v>287</v>
      </c>
      <c r="B307" s="33" t="s">
        <v>67</v>
      </c>
      <c r="C307" s="33" t="s">
        <v>861</v>
      </c>
      <c r="D307" s="33" t="s">
        <v>906</v>
      </c>
      <c r="E307" s="33" t="s">
        <v>896</v>
      </c>
      <c r="F307" s="33" t="s">
        <v>913</v>
      </c>
      <c r="G307" s="33" t="s">
        <v>914</v>
      </c>
      <c r="H307" s="33"/>
      <c r="I307" s="26"/>
      <c r="J307" s="26"/>
      <c r="K307" s="26"/>
    </row>
    <row r="308" customFormat="false" ht="40.5" hidden="false" customHeight="true" outlineLevel="0" collapsed="false">
      <c r="A308" s="32" t="n">
        <v>288</v>
      </c>
      <c r="B308" s="33" t="s">
        <v>67</v>
      </c>
      <c r="C308" s="33" t="s">
        <v>861</v>
      </c>
      <c r="D308" s="33" t="s">
        <v>915</v>
      </c>
      <c r="E308" s="33" t="s">
        <v>916</v>
      </c>
      <c r="F308" s="33" t="s">
        <v>917</v>
      </c>
      <c r="G308" s="33" t="s">
        <v>918</v>
      </c>
      <c r="H308" s="33"/>
      <c r="I308" s="26"/>
      <c r="J308" s="26"/>
      <c r="K308" s="26"/>
    </row>
    <row r="309" customFormat="false" ht="40.5" hidden="false" customHeight="true" outlineLevel="0" collapsed="false">
      <c r="A309" s="32" t="n">
        <v>289</v>
      </c>
      <c r="B309" s="33" t="s">
        <v>67</v>
      </c>
      <c r="C309" s="33" t="s">
        <v>861</v>
      </c>
      <c r="D309" s="33" t="s">
        <v>915</v>
      </c>
      <c r="E309" s="33" t="s">
        <v>919</v>
      </c>
      <c r="F309" s="33" t="s">
        <v>920</v>
      </c>
      <c r="G309" s="33" t="s">
        <v>921</v>
      </c>
      <c r="H309" s="33"/>
      <c r="I309" s="26"/>
      <c r="J309" s="26"/>
      <c r="K309" s="26"/>
    </row>
    <row r="310" customFormat="false" ht="40.5" hidden="false" customHeight="true" outlineLevel="0" collapsed="false">
      <c r="A310" s="32" t="n">
        <v>290</v>
      </c>
      <c r="B310" s="33" t="s">
        <v>67</v>
      </c>
      <c r="C310" s="33" t="s">
        <v>922</v>
      </c>
      <c r="D310" s="33" t="s">
        <v>754</v>
      </c>
      <c r="E310" s="33"/>
      <c r="F310" s="33" t="s">
        <v>923</v>
      </c>
      <c r="G310" s="33" t="s">
        <v>924</v>
      </c>
      <c r="H310" s="33"/>
      <c r="I310" s="26"/>
      <c r="J310" s="26"/>
      <c r="K310" s="26"/>
    </row>
    <row r="311" customFormat="false" ht="40.5" hidden="false" customHeight="true" outlineLevel="0" collapsed="false">
      <c r="A311" s="32" t="n">
        <v>291</v>
      </c>
      <c r="B311" s="33" t="s">
        <v>67</v>
      </c>
      <c r="C311" s="33" t="s">
        <v>922</v>
      </c>
      <c r="D311" s="33" t="s">
        <v>312</v>
      </c>
      <c r="E311" s="33"/>
      <c r="F311" s="33" t="s">
        <v>925</v>
      </c>
      <c r="G311" s="33" t="s">
        <v>926</v>
      </c>
      <c r="H311" s="33"/>
      <c r="I311" s="26"/>
      <c r="J311" s="26"/>
      <c r="K311" s="26"/>
    </row>
    <row r="312" customFormat="false" ht="67.5" hidden="false" customHeight="true" outlineLevel="0" collapsed="false">
      <c r="A312" s="32" t="n">
        <v>292</v>
      </c>
      <c r="B312" s="33" t="s">
        <v>67</v>
      </c>
      <c r="C312" s="33" t="s">
        <v>922</v>
      </c>
      <c r="D312" s="33" t="s">
        <v>927</v>
      </c>
      <c r="E312" s="33" t="s">
        <v>755</v>
      </c>
      <c r="F312" s="33" t="s">
        <v>928</v>
      </c>
      <c r="G312" s="33" t="s">
        <v>929</v>
      </c>
      <c r="H312" s="33"/>
      <c r="I312" s="26"/>
      <c r="J312" s="26"/>
      <c r="K312" s="26"/>
    </row>
    <row r="313" customFormat="false" ht="67.5" hidden="false" customHeight="true" outlineLevel="0" collapsed="false">
      <c r="A313" s="32" t="n">
        <v>293</v>
      </c>
      <c r="B313" s="33" t="s">
        <v>67</v>
      </c>
      <c r="C313" s="33" t="s">
        <v>922</v>
      </c>
      <c r="D313" s="33" t="s">
        <v>927</v>
      </c>
      <c r="E313" s="33" t="s">
        <v>756</v>
      </c>
      <c r="F313" s="33" t="s">
        <v>930</v>
      </c>
      <c r="G313" s="33" t="s">
        <v>931</v>
      </c>
      <c r="H313" s="33"/>
      <c r="I313" s="26"/>
      <c r="J313" s="26"/>
      <c r="K313" s="26"/>
    </row>
    <row r="314" customFormat="false" ht="40.5" hidden="false" customHeight="true" outlineLevel="0" collapsed="false">
      <c r="A314" s="32" t="n">
        <v>294</v>
      </c>
      <c r="B314" s="33" t="s">
        <v>67</v>
      </c>
      <c r="C314" s="33" t="s">
        <v>922</v>
      </c>
      <c r="D314" s="33" t="s">
        <v>932</v>
      </c>
      <c r="E314" s="33"/>
      <c r="F314" s="33" t="s">
        <v>933</v>
      </c>
      <c r="G314" s="33" t="s">
        <v>934</v>
      </c>
      <c r="H314" s="33"/>
      <c r="I314" s="26"/>
      <c r="J314" s="26"/>
      <c r="K314" s="26"/>
    </row>
    <row r="315" customFormat="false" ht="40.5" hidden="false" customHeight="true" outlineLevel="0" collapsed="false">
      <c r="A315" s="32" t="n">
        <v>295</v>
      </c>
      <c r="B315" s="33" t="s">
        <v>67</v>
      </c>
      <c r="C315" s="33" t="s">
        <v>922</v>
      </c>
      <c r="D315" s="33" t="s">
        <v>935</v>
      </c>
      <c r="E315" s="33"/>
      <c r="F315" s="33" t="s">
        <v>936</v>
      </c>
      <c r="G315" s="33" t="s">
        <v>937</v>
      </c>
      <c r="H315" s="33"/>
      <c r="I315" s="26"/>
      <c r="J315" s="26"/>
      <c r="K315" s="26"/>
    </row>
    <row r="316" customFormat="false" ht="40.5" hidden="false" customHeight="true" outlineLevel="0" collapsed="false">
      <c r="A316" s="32" t="n">
        <v>296</v>
      </c>
      <c r="B316" s="33" t="s">
        <v>67</v>
      </c>
      <c r="C316" s="33" t="s">
        <v>922</v>
      </c>
      <c r="D316" s="33" t="s">
        <v>938</v>
      </c>
      <c r="E316" s="33"/>
      <c r="F316" s="33" t="s">
        <v>820</v>
      </c>
      <c r="G316" s="33" t="s">
        <v>821</v>
      </c>
      <c r="H316" s="33"/>
      <c r="I316" s="26"/>
      <c r="J316" s="26"/>
      <c r="K316" s="26"/>
    </row>
    <row r="317" customFormat="false" ht="40.5" hidden="false" customHeight="true" outlineLevel="0" collapsed="false">
      <c r="A317" s="32" t="n">
        <v>297</v>
      </c>
      <c r="B317" s="33" t="s">
        <v>67</v>
      </c>
      <c r="C317" s="33" t="s">
        <v>922</v>
      </c>
      <c r="D317" s="33" t="s">
        <v>939</v>
      </c>
      <c r="E317" s="33"/>
      <c r="F317" s="33" t="s">
        <v>813</v>
      </c>
      <c r="G317" s="33" t="s">
        <v>814</v>
      </c>
      <c r="H317" s="33"/>
      <c r="I317" s="26"/>
      <c r="J317" s="26"/>
      <c r="K317" s="26"/>
    </row>
    <row r="318" customFormat="false" ht="40.5" hidden="false" customHeight="true" outlineLevel="0" collapsed="false">
      <c r="A318" s="32" t="n">
        <v>298</v>
      </c>
      <c r="B318" s="33" t="s">
        <v>67</v>
      </c>
      <c r="C318" s="33" t="s">
        <v>922</v>
      </c>
      <c r="D318" s="33" t="s">
        <v>940</v>
      </c>
      <c r="E318" s="33"/>
      <c r="F318" s="33" t="s">
        <v>941</v>
      </c>
      <c r="G318" s="33" t="s">
        <v>942</v>
      </c>
      <c r="H318" s="33" t="s">
        <v>943</v>
      </c>
      <c r="I318" s="26"/>
      <c r="J318" s="26"/>
      <c r="K318" s="26"/>
    </row>
    <row r="319" customFormat="false" ht="40.5" hidden="false" customHeight="true" outlineLevel="0" collapsed="false">
      <c r="A319" s="32" t="n">
        <v>299</v>
      </c>
      <c r="B319" s="33" t="s">
        <v>67</v>
      </c>
      <c r="C319" s="33" t="s">
        <v>922</v>
      </c>
      <c r="D319" s="33" t="s">
        <v>944</v>
      </c>
      <c r="E319" s="33"/>
      <c r="F319" s="33" t="s">
        <v>945</v>
      </c>
      <c r="G319" s="33" t="s">
        <v>946</v>
      </c>
      <c r="H319" s="33"/>
      <c r="I319" s="26"/>
      <c r="J319" s="26"/>
      <c r="K319" s="26"/>
    </row>
    <row r="320" customFormat="false" ht="54" hidden="false" customHeight="true" outlineLevel="0" collapsed="false">
      <c r="A320" s="32" t="n">
        <v>300</v>
      </c>
      <c r="B320" s="33" t="s">
        <v>67</v>
      </c>
      <c r="C320" s="33" t="s">
        <v>922</v>
      </c>
      <c r="D320" s="33" t="s">
        <v>822</v>
      </c>
      <c r="E320" s="33"/>
      <c r="F320" s="33" t="s">
        <v>947</v>
      </c>
      <c r="G320" s="33" t="s">
        <v>948</v>
      </c>
      <c r="H320" s="33" t="s">
        <v>127</v>
      </c>
      <c r="I320" s="26"/>
      <c r="J320" s="26"/>
      <c r="K320" s="26"/>
    </row>
    <row r="321" customFormat="false" ht="54" hidden="false" customHeight="true" outlineLevel="0" collapsed="false">
      <c r="A321" s="27" t="s">
        <v>949</v>
      </c>
      <c r="B321" s="28" t="s">
        <v>67</v>
      </c>
      <c r="C321" s="28" t="s">
        <v>922</v>
      </c>
      <c r="D321" s="28" t="s">
        <v>950</v>
      </c>
      <c r="E321" s="28"/>
      <c r="F321" s="28" t="s">
        <v>951</v>
      </c>
      <c r="G321" s="28" t="s">
        <v>952</v>
      </c>
      <c r="H321" s="28" t="s">
        <v>953</v>
      </c>
      <c r="I321" s="28"/>
      <c r="J321" s="28"/>
      <c r="K321" s="26"/>
    </row>
    <row r="322" customFormat="false" ht="40.5" hidden="false" customHeight="true" outlineLevel="0" collapsed="false">
      <c r="A322" s="32" t="n">
        <v>301</v>
      </c>
      <c r="B322" s="33" t="s">
        <v>67</v>
      </c>
      <c r="C322" s="33" t="s">
        <v>922</v>
      </c>
      <c r="D322" s="33" t="s">
        <v>954</v>
      </c>
      <c r="E322" s="33"/>
      <c r="F322" s="33" t="s">
        <v>955</v>
      </c>
      <c r="G322" s="33" t="s">
        <v>956</v>
      </c>
      <c r="H322" s="33"/>
      <c r="I322" s="26"/>
      <c r="J322" s="26"/>
      <c r="K322" s="26"/>
    </row>
    <row r="323" customFormat="false" ht="40.5" hidden="false" customHeight="true" outlineLevel="0" collapsed="false">
      <c r="A323" s="32" t="n">
        <v>302</v>
      </c>
      <c r="B323" s="33" t="s">
        <v>67</v>
      </c>
      <c r="C323" s="33" t="s">
        <v>922</v>
      </c>
      <c r="D323" s="33" t="s">
        <v>957</v>
      </c>
      <c r="E323" s="33"/>
      <c r="F323" s="33" t="s">
        <v>958</v>
      </c>
      <c r="G323" s="33" t="s">
        <v>959</v>
      </c>
      <c r="H323" s="33" t="s">
        <v>960</v>
      </c>
      <c r="I323" s="26"/>
      <c r="J323" s="26"/>
      <c r="K323" s="26"/>
    </row>
    <row r="324" customFormat="false" ht="40.5" hidden="false" customHeight="true" outlineLevel="0" collapsed="false">
      <c r="A324" s="32" t="n">
        <v>303</v>
      </c>
      <c r="B324" s="33" t="s">
        <v>67</v>
      </c>
      <c r="C324" s="33" t="s">
        <v>922</v>
      </c>
      <c r="D324" s="33" t="s">
        <v>961</v>
      </c>
      <c r="E324" s="33"/>
      <c r="F324" s="33" t="s">
        <v>962</v>
      </c>
      <c r="G324" s="33" t="s">
        <v>963</v>
      </c>
      <c r="H324" s="33" t="s">
        <v>960</v>
      </c>
      <c r="I324" s="26"/>
      <c r="J324" s="26"/>
      <c r="K324" s="26"/>
    </row>
    <row r="325" customFormat="false" ht="40.5" hidden="false" customHeight="true" outlineLevel="0" collapsed="false">
      <c r="A325" s="32" t="n">
        <v>304</v>
      </c>
      <c r="B325" s="33" t="s">
        <v>67</v>
      </c>
      <c r="C325" s="33" t="s">
        <v>922</v>
      </c>
      <c r="D325" s="33" t="s">
        <v>964</v>
      </c>
      <c r="E325" s="33"/>
      <c r="F325" s="33" t="s">
        <v>965</v>
      </c>
      <c r="G325" s="33" t="s">
        <v>966</v>
      </c>
      <c r="H325" s="33" t="s">
        <v>960</v>
      </c>
      <c r="I325" s="26"/>
      <c r="J325" s="26"/>
      <c r="K325" s="26"/>
    </row>
    <row r="326" customFormat="false" ht="40.5" hidden="false" customHeight="true" outlineLevel="0" collapsed="false">
      <c r="A326" s="32" t="n">
        <v>305</v>
      </c>
      <c r="B326" s="33" t="s">
        <v>67</v>
      </c>
      <c r="C326" s="33" t="s">
        <v>922</v>
      </c>
      <c r="D326" s="33" t="s">
        <v>967</v>
      </c>
      <c r="E326" s="33"/>
      <c r="F326" s="33" t="s">
        <v>968</v>
      </c>
      <c r="G326" s="33" t="s">
        <v>969</v>
      </c>
      <c r="H326" s="33" t="s">
        <v>960</v>
      </c>
      <c r="I326" s="26"/>
      <c r="J326" s="26"/>
      <c r="K326" s="26"/>
    </row>
    <row r="327" customFormat="false" ht="40.5" hidden="false" customHeight="true" outlineLevel="0" collapsed="false">
      <c r="A327" s="27" t="s">
        <v>970</v>
      </c>
      <c r="B327" s="28" t="s">
        <v>67</v>
      </c>
      <c r="C327" s="28" t="s">
        <v>922</v>
      </c>
      <c r="D327" s="28" t="s">
        <v>971</v>
      </c>
      <c r="E327" s="28"/>
      <c r="F327" s="28" t="s">
        <v>972</v>
      </c>
      <c r="G327" s="28" t="s">
        <v>973</v>
      </c>
      <c r="H327" s="28" t="s">
        <v>974</v>
      </c>
      <c r="I327" s="28"/>
      <c r="J327" s="28"/>
      <c r="K327" s="26"/>
    </row>
    <row r="328" customFormat="false" ht="40.5" hidden="false" customHeight="true" outlineLevel="0" collapsed="false">
      <c r="A328" s="32" t="n">
        <v>306</v>
      </c>
      <c r="B328" s="33" t="s">
        <v>67</v>
      </c>
      <c r="C328" s="33" t="s">
        <v>922</v>
      </c>
      <c r="D328" s="33" t="s">
        <v>975</v>
      </c>
      <c r="E328" s="33"/>
      <c r="F328" s="33" t="s">
        <v>976</v>
      </c>
      <c r="G328" s="33" t="s">
        <v>977</v>
      </c>
      <c r="H328" s="33" t="s">
        <v>978</v>
      </c>
      <c r="I328" s="26"/>
      <c r="J328" s="26"/>
      <c r="K328" s="26"/>
    </row>
    <row r="329" customFormat="false" ht="40.5" hidden="false" customHeight="true" outlineLevel="0" collapsed="false">
      <c r="A329" s="32" t="n">
        <v>307</v>
      </c>
      <c r="B329" s="33" t="s">
        <v>67</v>
      </c>
      <c r="C329" s="33" t="s">
        <v>922</v>
      </c>
      <c r="D329" s="33" t="s">
        <v>979</v>
      </c>
      <c r="E329" s="33"/>
      <c r="F329" s="33" t="s">
        <v>980</v>
      </c>
      <c r="G329" s="33" t="s">
        <v>981</v>
      </c>
      <c r="H329" s="33" t="s">
        <v>982</v>
      </c>
      <c r="I329" s="26"/>
      <c r="J329" s="26"/>
      <c r="K329" s="26"/>
    </row>
    <row r="330" customFormat="false" ht="40.5" hidden="false" customHeight="true" outlineLevel="0" collapsed="false">
      <c r="A330" s="32" t="n">
        <v>308</v>
      </c>
      <c r="B330" s="33" t="s">
        <v>67</v>
      </c>
      <c r="C330" s="33" t="s">
        <v>922</v>
      </c>
      <c r="D330" s="33" t="s">
        <v>979</v>
      </c>
      <c r="E330" s="33"/>
      <c r="F330" s="33" t="s">
        <v>983</v>
      </c>
      <c r="G330" s="33" t="s">
        <v>984</v>
      </c>
      <c r="H330" s="33" t="s">
        <v>982</v>
      </c>
      <c r="I330" s="26"/>
      <c r="J330" s="26"/>
      <c r="K330" s="26"/>
    </row>
    <row r="331" customFormat="false" ht="40.5" hidden="false" customHeight="true" outlineLevel="0" collapsed="false">
      <c r="A331" s="32" t="n">
        <v>309</v>
      </c>
      <c r="B331" s="33" t="s">
        <v>67</v>
      </c>
      <c r="C331" s="33" t="s">
        <v>922</v>
      </c>
      <c r="D331" s="33" t="s">
        <v>979</v>
      </c>
      <c r="E331" s="33"/>
      <c r="F331" s="33" t="s">
        <v>985</v>
      </c>
      <c r="G331" s="33" t="s">
        <v>986</v>
      </c>
      <c r="H331" s="33" t="s">
        <v>982</v>
      </c>
      <c r="I331" s="26"/>
      <c r="J331" s="26"/>
      <c r="K331" s="26"/>
    </row>
    <row r="332" customFormat="false" ht="40.5" hidden="false" customHeight="true" outlineLevel="0" collapsed="false">
      <c r="A332" s="32" t="n">
        <v>310</v>
      </c>
      <c r="B332" s="33" t="s">
        <v>67</v>
      </c>
      <c r="C332" s="33" t="s">
        <v>922</v>
      </c>
      <c r="D332" s="33" t="s">
        <v>979</v>
      </c>
      <c r="E332" s="33"/>
      <c r="F332" s="33" t="s">
        <v>987</v>
      </c>
      <c r="G332" s="33" t="s">
        <v>988</v>
      </c>
      <c r="H332" s="33" t="s">
        <v>982</v>
      </c>
      <c r="I332" s="26"/>
      <c r="J332" s="26"/>
      <c r="K332" s="26"/>
    </row>
    <row r="333" customFormat="false" ht="40.5" hidden="false" customHeight="true" outlineLevel="0" collapsed="false">
      <c r="A333" s="32" t="n">
        <v>311</v>
      </c>
      <c r="B333" s="33" t="s">
        <v>67</v>
      </c>
      <c r="C333" s="33" t="s">
        <v>922</v>
      </c>
      <c r="D333" s="33" t="s">
        <v>979</v>
      </c>
      <c r="E333" s="33"/>
      <c r="F333" s="33" t="s">
        <v>989</v>
      </c>
      <c r="G333" s="33" t="s">
        <v>990</v>
      </c>
      <c r="H333" s="33" t="s">
        <v>982</v>
      </c>
      <c r="I333" s="26"/>
      <c r="J333" s="26"/>
      <c r="K333" s="26"/>
    </row>
    <row r="334" customFormat="false" ht="40.5" hidden="false" customHeight="true" outlineLevel="0" collapsed="false">
      <c r="A334" s="32" t="n">
        <v>312</v>
      </c>
      <c r="B334" s="33" t="s">
        <v>67</v>
      </c>
      <c r="C334" s="33" t="s">
        <v>922</v>
      </c>
      <c r="D334" s="33" t="s">
        <v>979</v>
      </c>
      <c r="E334" s="33"/>
      <c r="F334" s="33" t="s">
        <v>991</v>
      </c>
      <c r="G334" s="33" t="s">
        <v>992</v>
      </c>
      <c r="H334" s="33" t="s">
        <v>982</v>
      </c>
      <c r="I334" s="26"/>
      <c r="J334" s="26"/>
      <c r="K334" s="26"/>
    </row>
    <row r="335" customFormat="false" ht="40.5" hidden="false" customHeight="true" outlineLevel="0" collapsed="false">
      <c r="A335" s="32" t="n">
        <v>313</v>
      </c>
      <c r="B335" s="33" t="s">
        <v>67</v>
      </c>
      <c r="C335" s="33" t="s">
        <v>922</v>
      </c>
      <c r="D335" s="33" t="s">
        <v>979</v>
      </c>
      <c r="E335" s="33"/>
      <c r="F335" s="33" t="s">
        <v>993</v>
      </c>
      <c r="G335" s="33" t="s">
        <v>994</v>
      </c>
      <c r="H335" s="33" t="s">
        <v>982</v>
      </c>
      <c r="I335" s="26"/>
      <c r="J335" s="26"/>
      <c r="K335" s="26"/>
    </row>
    <row r="336" customFormat="false" ht="40.5" hidden="false" customHeight="true" outlineLevel="0" collapsed="false">
      <c r="A336" s="32" t="n">
        <v>314</v>
      </c>
      <c r="B336" s="33" t="s">
        <v>67</v>
      </c>
      <c r="C336" s="33" t="s">
        <v>922</v>
      </c>
      <c r="D336" s="33" t="s">
        <v>979</v>
      </c>
      <c r="E336" s="33"/>
      <c r="F336" s="33" t="s">
        <v>995</v>
      </c>
      <c r="G336" s="33" t="s">
        <v>996</v>
      </c>
      <c r="H336" s="33" t="s">
        <v>982</v>
      </c>
      <c r="I336" s="26"/>
      <c r="J336" s="26"/>
      <c r="K336" s="26"/>
    </row>
    <row r="337" customFormat="false" ht="40.5" hidden="false" customHeight="true" outlineLevel="0" collapsed="false">
      <c r="A337" s="32" t="n">
        <v>315</v>
      </c>
      <c r="B337" s="33" t="s">
        <v>67</v>
      </c>
      <c r="C337" s="33" t="s">
        <v>922</v>
      </c>
      <c r="D337" s="33" t="s">
        <v>979</v>
      </c>
      <c r="E337" s="33"/>
      <c r="F337" s="33" t="s">
        <v>997</v>
      </c>
      <c r="G337" s="33" t="s">
        <v>998</v>
      </c>
      <c r="H337" s="33" t="s">
        <v>982</v>
      </c>
      <c r="I337" s="26"/>
      <c r="J337" s="26"/>
      <c r="K337" s="26"/>
    </row>
    <row r="338" customFormat="false" ht="40.5" hidden="false" customHeight="true" outlineLevel="0" collapsed="false">
      <c r="A338" s="32" t="n">
        <v>316</v>
      </c>
      <c r="B338" s="33" t="s">
        <v>67</v>
      </c>
      <c r="C338" s="33" t="s">
        <v>922</v>
      </c>
      <c r="D338" s="33" t="s">
        <v>979</v>
      </c>
      <c r="E338" s="33"/>
      <c r="F338" s="33" t="s">
        <v>999</v>
      </c>
      <c r="G338" s="33" t="s">
        <v>1000</v>
      </c>
      <c r="H338" s="33" t="s">
        <v>982</v>
      </c>
      <c r="I338" s="26"/>
      <c r="J338" s="26"/>
      <c r="K338" s="26"/>
    </row>
    <row r="339" customFormat="false" ht="40.5" hidden="false" customHeight="true" outlineLevel="0" collapsed="false">
      <c r="A339" s="32" t="n">
        <v>317</v>
      </c>
      <c r="B339" s="33" t="s">
        <v>67</v>
      </c>
      <c r="C339" s="33" t="s">
        <v>922</v>
      </c>
      <c r="D339" s="33" t="s">
        <v>979</v>
      </c>
      <c r="E339" s="33"/>
      <c r="F339" s="33" t="s">
        <v>1001</v>
      </c>
      <c r="G339" s="33" t="s">
        <v>1002</v>
      </c>
      <c r="H339" s="33" t="s">
        <v>982</v>
      </c>
      <c r="I339" s="26"/>
      <c r="J339" s="26"/>
      <c r="K339" s="26"/>
    </row>
    <row r="340" customFormat="false" ht="40.5" hidden="false" customHeight="true" outlineLevel="0" collapsed="false">
      <c r="A340" s="32" t="n">
        <v>318</v>
      </c>
      <c r="B340" s="33" t="s">
        <v>67</v>
      </c>
      <c r="C340" s="33" t="s">
        <v>922</v>
      </c>
      <c r="D340" s="33" t="s">
        <v>979</v>
      </c>
      <c r="E340" s="33"/>
      <c r="F340" s="33" t="s">
        <v>1003</v>
      </c>
      <c r="G340" s="33" t="s">
        <v>1004</v>
      </c>
      <c r="H340" s="33" t="s">
        <v>982</v>
      </c>
      <c r="I340" s="26"/>
      <c r="J340" s="26"/>
      <c r="K340" s="26"/>
    </row>
    <row r="341" customFormat="false" ht="40.5" hidden="false" customHeight="true" outlineLevel="0" collapsed="false">
      <c r="A341" s="32" t="n">
        <v>319</v>
      </c>
      <c r="B341" s="33" t="s">
        <v>67</v>
      </c>
      <c r="C341" s="33" t="s">
        <v>922</v>
      </c>
      <c r="D341" s="33" t="s">
        <v>979</v>
      </c>
      <c r="E341" s="33"/>
      <c r="F341" s="33" t="s">
        <v>1005</v>
      </c>
      <c r="G341" s="33" t="s">
        <v>1006</v>
      </c>
      <c r="H341" s="33" t="s">
        <v>982</v>
      </c>
      <c r="I341" s="26"/>
      <c r="J341" s="26"/>
      <c r="K341" s="26"/>
    </row>
    <row r="342" customFormat="false" ht="40.5" hidden="false" customHeight="true" outlineLevel="0" collapsed="false">
      <c r="A342" s="32" t="n">
        <v>320</v>
      </c>
      <c r="B342" s="33" t="s">
        <v>67</v>
      </c>
      <c r="C342" s="33" t="s">
        <v>922</v>
      </c>
      <c r="D342" s="33" t="s">
        <v>979</v>
      </c>
      <c r="E342" s="33"/>
      <c r="F342" s="33" t="s">
        <v>1007</v>
      </c>
      <c r="G342" s="33" t="s">
        <v>1008</v>
      </c>
      <c r="H342" s="33" t="s">
        <v>982</v>
      </c>
      <c r="I342" s="26"/>
      <c r="J342" s="26"/>
      <c r="K342" s="26"/>
    </row>
    <row r="343" customFormat="false" ht="40.5" hidden="false" customHeight="true" outlineLevel="0" collapsed="false">
      <c r="A343" s="32" t="n">
        <v>321</v>
      </c>
      <c r="B343" s="33" t="s">
        <v>67</v>
      </c>
      <c r="C343" s="33" t="s">
        <v>922</v>
      </c>
      <c r="D343" s="33" t="s">
        <v>979</v>
      </c>
      <c r="E343" s="33"/>
      <c r="F343" s="33" t="s">
        <v>1009</v>
      </c>
      <c r="G343" s="33" t="s">
        <v>1010</v>
      </c>
      <c r="H343" s="33" t="s">
        <v>982</v>
      </c>
      <c r="I343" s="26"/>
      <c r="J343" s="26"/>
      <c r="K343" s="26"/>
    </row>
    <row r="344" customFormat="false" ht="40.5" hidden="false" customHeight="true" outlineLevel="0" collapsed="false">
      <c r="A344" s="32" t="n">
        <v>322</v>
      </c>
      <c r="B344" s="33" t="s">
        <v>67</v>
      </c>
      <c r="C344" s="33" t="s">
        <v>922</v>
      </c>
      <c r="D344" s="33" t="s">
        <v>1011</v>
      </c>
      <c r="E344" s="33"/>
      <c r="F344" s="33" t="s">
        <v>1012</v>
      </c>
      <c r="G344" s="33" t="s">
        <v>1013</v>
      </c>
      <c r="H344" s="33"/>
      <c r="I344" s="26"/>
      <c r="J344" s="26"/>
      <c r="K344" s="26"/>
    </row>
    <row r="345" customFormat="false" ht="40.5" hidden="false" customHeight="true" outlineLevel="0" collapsed="false">
      <c r="A345" s="27" t="s">
        <v>1014</v>
      </c>
      <c r="B345" s="28" t="s">
        <v>67</v>
      </c>
      <c r="C345" s="28" t="s">
        <v>922</v>
      </c>
      <c r="D345" s="28" t="s">
        <v>1015</v>
      </c>
      <c r="E345" s="28"/>
      <c r="F345" s="28" t="s">
        <v>1016</v>
      </c>
      <c r="G345" s="28" t="s">
        <v>1017</v>
      </c>
      <c r="H345" s="28" t="s">
        <v>1018</v>
      </c>
      <c r="I345" s="28"/>
      <c r="J345" s="28"/>
      <c r="K345" s="26"/>
    </row>
    <row r="346" customFormat="false" ht="40.5" hidden="false" customHeight="true" outlineLevel="0" collapsed="false">
      <c r="A346" s="32" t="n">
        <v>323</v>
      </c>
      <c r="B346" s="33" t="s">
        <v>67</v>
      </c>
      <c r="C346" s="33" t="s">
        <v>922</v>
      </c>
      <c r="D346" s="33" t="s">
        <v>1019</v>
      </c>
      <c r="E346" s="33"/>
      <c r="F346" s="33" t="s">
        <v>1020</v>
      </c>
      <c r="G346" s="33" t="s">
        <v>1021</v>
      </c>
      <c r="H346" s="33"/>
      <c r="I346" s="26"/>
      <c r="J346" s="26"/>
      <c r="K346" s="26"/>
    </row>
    <row r="347" customFormat="false" ht="40.5" hidden="false" customHeight="true" outlineLevel="0" collapsed="false">
      <c r="A347" s="32" t="n">
        <v>324</v>
      </c>
      <c r="B347" s="33" t="s">
        <v>67</v>
      </c>
      <c r="C347" s="33" t="s">
        <v>922</v>
      </c>
      <c r="D347" s="33" t="s">
        <v>1022</v>
      </c>
      <c r="E347" s="33"/>
      <c r="F347" s="33" t="s">
        <v>1023</v>
      </c>
      <c r="G347" s="33" t="s">
        <v>1024</v>
      </c>
      <c r="H347" s="33" t="s">
        <v>1025</v>
      </c>
      <c r="I347" s="26"/>
      <c r="J347" s="26"/>
      <c r="K347" s="26"/>
    </row>
    <row r="348" customFormat="false" ht="40.5" hidden="false" customHeight="true" outlineLevel="0" collapsed="false">
      <c r="A348" s="32" t="n">
        <v>325</v>
      </c>
      <c r="B348" s="33" t="s">
        <v>67</v>
      </c>
      <c r="C348" s="33" t="s">
        <v>922</v>
      </c>
      <c r="D348" s="33" t="s">
        <v>1026</v>
      </c>
      <c r="E348" s="33" t="s">
        <v>1027</v>
      </c>
      <c r="F348" s="33" t="s">
        <v>1028</v>
      </c>
      <c r="G348" s="33" t="s">
        <v>1029</v>
      </c>
      <c r="H348" s="33"/>
      <c r="I348" s="26"/>
      <c r="J348" s="26"/>
      <c r="K348" s="26"/>
    </row>
    <row r="349" customFormat="false" ht="40.5" hidden="false" customHeight="true" outlineLevel="0" collapsed="false">
      <c r="A349" s="32" t="n">
        <v>326</v>
      </c>
      <c r="B349" s="33" t="s">
        <v>67</v>
      </c>
      <c r="C349" s="33" t="s">
        <v>922</v>
      </c>
      <c r="D349" s="33" t="s">
        <v>1030</v>
      </c>
      <c r="E349" s="33" t="s">
        <v>761</v>
      </c>
      <c r="F349" s="33" t="s">
        <v>1031</v>
      </c>
      <c r="G349" s="33" t="s">
        <v>1032</v>
      </c>
      <c r="H349" s="33"/>
      <c r="I349" s="26"/>
      <c r="J349" s="26"/>
      <c r="K349" s="26"/>
    </row>
    <row r="350" customFormat="false" ht="40.5" hidden="false" customHeight="true" outlineLevel="0" collapsed="false">
      <c r="A350" s="32" t="n">
        <v>327</v>
      </c>
      <c r="B350" s="33" t="s">
        <v>67</v>
      </c>
      <c r="C350" s="33" t="s">
        <v>922</v>
      </c>
      <c r="D350" s="33" t="s">
        <v>1033</v>
      </c>
      <c r="E350" s="33" t="s">
        <v>761</v>
      </c>
      <c r="F350" s="33" t="s">
        <v>1034</v>
      </c>
      <c r="G350" s="33" t="s">
        <v>1035</v>
      </c>
      <c r="H350" s="33"/>
      <c r="I350" s="26"/>
      <c r="J350" s="26"/>
      <c r="K350" s="26"/>
    </row>
    <row r="351" customFormat="false" ht="40.5" hidden="false" customHeight="true" outlineLevel="0" collapsed="false">
      <c r="A351" s="32" t="n">
        <v>328</v>
      </c>
      <c r="B351" s="33" t="s">
        <v>67</v>
      </c>
      <c r="C351" s="33" t="s">
        <v>922</v>
      </c>
      <c r="D351" s="33" t="s">
        <v>1036</v>
      </c>
      <c r="E351" s="33" t="s">
        <v>761</v>
      </c>
      <c r="F351" s="33" t="s">
        <v>1037</v>
      </c>
      <c r="G351" s="33" t="s">
        <v>1038</v>
      </c>
      <c r="H351" s="33"/>
      <c r="I351" s="26"/>
      <c r="J351" s="26"/>
      <c r="K351" s="26"/>
    </row>
    <row r="352" customFormat="false" ht="40.5" hidden="false" customHeight="true" outlineLevel="0" collapsed="false">
      <c r="A352" s="32" t="n">
        <v>329</v>
      </c>
      <c r="B352" s="33" t="s">
        <v>67</v>
      </c>
      <c r="C352" s="33" t="s">
        <v>922</v>
      </c>
      <c r="D352" s="33" t="s">
        <v>1030</v>
      </c>
      <c r="E352" s="33" t="s">
        <v>890</v>
      </c>
      <c r="F352" s="33" t="s">
        <v>1039</v>
      </c>
      <c r="G352" s="33" t="s">
        <v>1040</v>
      </c>
      <c r="H352" s="33"/>
      <c r="I352" s="26"/>
      <c r="J352" s="26"/>
      <c r="K352" s="26"/>
    </row>
    <row r="353" customFormat="false" ht="40.5" hidden="false" customHeight="true" outlineLevel="0" collapsed="false">
      <c r="A353" s="32" t="n">
        <v>330</v>
      </c>
      <c r="B353" s="33" t="s">
        <v>67</v>
      </c>
      <c r="C353" s="33" t="s">
        <v>922</v>
      </c>
      <c r="D353" s="33" t="s">
        <v>1033</v>
      </c>
      <c r="E353" s="33" t="s">
        <v>890</v>
      </c>
      <c r="F353" s="33" t="s">
        <v>1041</v>
      </c>
      <c r="G353" s="33" t="s">
        <v>1042</v>
      </c>
      <c r="H353" s="33"/>
      <c r="I353" s="26"/>
      <c r="J353" s="26"/>
      <c r="K353" s="26"/>
    </row>
    <row r="354" customFormat="false" ht="40.5" hidden="false" customHeight="true" outlineLevel="0" collapsed="false">
      <c r="A354" s="32" t="n">
        <v>331</v>
      </c>
      <c r="B354" s="33" t="s">
        <v>67</v>
      </c>
      <c r="C354" s="33" t="s">
        <v>922</v>
      </c>
      <c r="D354" s="33" t="s">
        <v>1036</v>
      </c>
      <c r="E354" s="33" t="s">
        <v>890</v>
      </c>
      <c r="F354" s="33" t="s">
        <v>1043</v>
      </c>
      <c r="G354" s="33" t="s">
        <v>1044</v>
      </c>
      <c r="H354" s="33"/>
      <c r="I354" s="26"/>
      <c r="J354" s="26"/>
      <c r="K354" s="26"/>
    </row>
    <row r="355" customFormat="false" ht="40.5" hidden="false" customHeight="true" outlineLevel="0" collapsed="false">
      <c r="A355" s="32" t="n">
        <v>332</v>
      </c>
      <c r="B355" s="33" t="s">
        <v>67</v>
      </c>
      <c r="C355" s="33" t="s">
        <v>922</v>
      </c>
      <c r="D355" s="33" t="s">
        <v>1030</v>
      </c>
      <c r="E355" s="33" t="s">
        <v>893</v>
      </c>
      <c r="F355" s="33" t="s">
        <v>1045</v>
      </c>
      <c r="G355" s="33" t="s">
        <v>1046</v>
      </c>
      <c r="H355" s="33"/>
      <c r="I355" s="26"/>
      <c r="J355" s="26"/>
      <c r="K355" s="26"/>
    </row>
    <row r="356" customFormat="false" ht="40.5" hidden="false" customHeight="true" outlineLevel="0" collapsed="false">
      <c r="A356" s="32" t="n">
        <v>333</v>
      </c>
      <c r="B356" s="33" t="s">
        <v>67</v>
      </c>
      <c r="C356" s="33" t="s">
        <v>922</v>
      </c>
      <c r="D356" s="33" t="s">
        <v>1033</v>
      </c>
      <c r="E356" s="33" t="s">
        <v>893</v>
      </c>
      <c r="F356" s="33" t="s">
        <v>1047</v>
      </c>
      <c r="G356" s="33" t="s">
        <v>1048</v>
      </c>
      <c r="H356" s="33"/>
      <c r="I356" s="26"/>
      <c r="J356" s="26"/>
      <c r="K356" s="26"/>
    </row>
    <row r="357" customFormat="false" ht="40.5" hidden="false" customHeight="true" outlineLevel="0" collapsed="false">
      <c r="A357" s="32" t="n">
        <v>334</v>
      </c>
      <c r="B357" s="33" t="s">
        <v>67</v>
      </c>
      <c r="C357" s="33" t="s">
        <v>922</v>
      </c>
      <c r="D357" s="33" t="s">
        <v>1036</v>
      </c>
      <c r="E357" s="33" t="s">
        <v>893</v>
      </c>
      <c r="F357" s="33" t="s">
        <v>1049</v>
      </c>
      <c r="G357" s="33" t="s">
        <v>1050</v>
      </c>
      <c r="H357" s="33"/>
      <c r="I357" s="26"/>
      <c r="J357" s="26"/>
      <c r="K357" s="26"/>
    </row>
    <row r="358" customFormat="false" ht="40.5" hidden="false" customHeight="true" outlineLevel="0" collapsed="false">
      <c r="A358" s="32" t="n">
        <v>335</v>
      </c>
      <c r="B358" s="33" t="s">
        <v>67</v>
      </c>
      <c r="C358" s="33" t="s">
        <v>922</v>
      </c>
      <c r="D358" s="33" t="s">
        <v>1030</v>
      </c>
      <c r="E358" s="33" t="s">
        <v>896</v>
      </c>
      <c r="F358" s="33" t="s">
        <v>1051</v>
      </c>
      <c r="G358" s="33" t="s">
        <v>1052</v>
      </c>
      <c r="H358" s="33"/>
      <c r="I358" s="26"/>
      <c r="J358" s="26"/>
      <c r="K358" s="26"/>
    </row>
    <row r="359" customFormat="false" ht="40.5" hidden="false" customHeight="true" outlineLevel="0" collapsed="false">
      <c r="A359" s="32" t="n">
        <v>336</v>
      </c>
      <c r="B359" s="33" t="s">
        <v>67</v>
      </c>
      <c r="C359" s="33" t="s">
        <v>922</v>
      </c>
      <c r="D359" s="33" t="s">
        <v>1033</v>
      </c>
      <c r="E359" s="33" t="s">
        <v>896</v>
      </c>
      <c r="F359" s="33" t="s">
        <v>1053</v>
      </c>
      <c r="G359" s="33" t="s">
        <v>1054</v>
      </c>
      <c r="H359" s="33"/>
      <c r="I359" s="26"/>
      <c r="J359" s="26"/>
      <c r="K359" s="26"/>
    </row>
    <row r="360" customFormat="false" ht="40.5" hidden="false" customHeight="true" outlineLevel="0" collapsed="false">
      <c r="A360" s="32" t="n">
        <v>337</v>
      </c>
      <c r="B360" s="33" t="s">
        <v>67</v>
      </c>
      <c r="C360" s="33" t="s">
        <v>922</v>
      </c>
      <c r="D360" s="33" t="s">
        <v>1036</v>
      </c>
      <c r="E360" s="33" t="s">
        <v>896</v>
      </c>
      <c r="F360" s="33" t="s">
        <v>1055</v>
      </c>
      <c r="G360" s="33" t="s">
        <v>1056</v>
      </c>
      <c r="H360" s="33"/>
      <c r="I360" s="26"/>
      <c r="J360" s="26"/>
      <c r="K360" s="26"/>
    </row>
    <row r="361" customFormat="false" ht="40.5" hidden="false" customHeight="true" outlineLevel="0" collapsed="false">
      <c r="A361" s="32" t="n">
        <v>338</v>
      </c>
      <c r="B361" s="33" t="s">
        <v>67</v>
      </c>
      <c r="C361" s="33" t="s">
        <v>1057</v>
      </c>
      <c r="D361" s="33" t="s">
        <v>754</v>
      </c>
      <c r="E361" s="33" t="s">
        <v>755</v>
      </c>
      <c r="F361" s="33" t="s">
        <v>1058</v>
      </c>
      <c r="G361" s="33" t="s">
        <v>1059</v>
      </c>
      <c r="H361" s="33"/>
      <c r="I361" s="26"/>
      <c r="J361" s="26"/>
      <c r="K361" s="26"/>
    </row>
    <row r="362" customFormat="false" ht="40.5" hidden="false" customHeight="true" outlineLevel="0" collapsed="false">
      <c r="A362" s="32" t="n">
        <v>339</v>
      </c>
      <c r="B362" s="33" t="s">
        <v>67</v>
      </c>
      <c r="C362" s="33" t="s">
        <v>1057</v>
      </c>
      <c r="D362" s="33" t="s">
        <v>754</v>
      </c>
      <c r="E362" s="33" t="s">
        <v>756</v>
      </c>
      <c r="F362" s="33" t="s">
        <v>1060</v>
      </c>
      <c r="G362" s="33" t="s">
        <v>1061</v>
      </c>
      <c r="H362" s="33"/>
      <c r="I362" s="26"/>
      <c r="J362" s="26"/>
      <c r="K362" s="26"/>
    </row>
    <row r="363" customFormat="false" ht="40.5" hidden="false" customHeight="true" outlineLevel="0" collapsed="false">
      <c r="A363" s="32" t="n">
        <v>340</v>
      </c>
      <c r="B363" s="33" t="s">
        <v>67</v>
      </c>
      <c r="C363" s="33" t="s">
        <v>1057</v>
      </c>
      <c r="D363" s="33" t="s">
        <v>1062</v>
      </c>
      <c r="E363" s="33" t="s">
        <v>1027</v>
      </c>
      <c r="F363" s="33" t="s">
        <v>1063</v>
      </c>
      <c r="G363" s="33" t="s">
        <v>1064</v>
      </c>
      <c r="H363" s="33" t="s">
        <v>1065</v>
      </c>
      <c r="I363" s="26"/>
      <c r="J363" s="26"/>
      <c r="K363" s="26"/>
    </row>
    <row r="364" customFormat="false" ht="40.5" hidden="false" customHeight="true" outlineLevel="0" collapsed="false">
      <c r="A364" s="32" t="n">
        <v>341</v>
      </c>
      <c r="B364" s="33" t="s">
        <v>67</v>
      </c>
      <c r="C364" s="33" t="s">
        <v>1057</v>
      </c>
      <c r="D364" s="33" t="s">
        <v>1066</v>
      </c>
      <c r="E364" s="33" t="s">
        <v>755</v>
      </c>
      <c r="F364" s="33" t="s">
        <v>1067</v>
      </c>
      <c r="G364" s="33" t="s">
        <v>1068</v>
      </c>
      <c r="H364" s="33"/>
      <c r="I364" s="26"/>
      <c r="J364" s="26"/>
      <c r="K364" s="26"/>
    </row>
    <row r="365" customFormat="false" ht="40.5" hidden="false" customHeight="true" outlineLevel="0" collapsed="false">
      <c r="A365" s="32" t="n">
        <v>342</v>
      </c>
      <c r="B365" s="33" t="s">
        <v>67</v>
      </c>
      <c r="C365" s="33" t="s">
        <v>1057</v>
      </c>
      <c r="D365" s="33" t="s">
        <v>1066</v>
      </c>
      <c r="E365" s="33" t="s">
        <v>756</v>
      </c>
      <c r="F365" s="33" t="s">
        <v>1069</v>
      </c>
      <c r="G365" s="33" t="s">
        <v>1068</v>
      </c>
      <c r="H365" s="33"/>
      <c r="I365" s="26"/>
      <c r="J365" s="26"/>
      <c r="K365" s="26"/>
    </row>
    <row r="366" customFormat="false" ht="40.5" hidden="false" customHeight="true" outlineLevel="0" collapsed="false">
      <c r="A366" s="32" t="n">
        <v>343</v>
      </c>
      <c r="B366" s="33" t="s">
        <v>67</v>
      </c>
      <c r="C366" s="33" t="s">
        <v>1057</v>
      </c>
      <c r="D366" s="33" t="s">
        <v>801</v>
      </c>
      <c r="E366" s="33"/>
      <c r="F366" s="33" t="s">
        <v>742</v>
      </c>
      <c r="G366" s="33" t="s">
        <v>743</v>
      </c>
      <c r="H366" s="33"/>
      <c r="I366" s="26"/>
      <c r="J366" s="26"/>
      <c r="K366" s="26"/>
    </row>
    <row r="367" customFormat="false" ht="40.5" hidden="false" customHeight="true" outlineLevel="0" collapsed="false">
      <c r="A367" s="32" t="n">
        <v>344</v>
      </c>
      <c r="B367" s="33" t="s">
        <v>67</v>
      </c>
      <c r="C367" s="33" t="s">
        <v>1057</v>
      </c>
      <c r="D367" s="33" t="s">
        <v>1070</v>
      </c>
      <c r="E367" s="33"/>
      <c r="F367" s="33" t="s">
        <v>1071</v>
      </c>
      <c r="G367" s="33" t="s">
        <v>1072</v>
      </c>
      <c r="H367" s="33"/>
      <c r="I367" s="26"/>
      <c r="J367" s="26"/>
      <c r="K367" s="26"/>
    </row>
    <row r="368" customFormat="false" ht="40.5" hidden="false" customHeight="true" outlineLevel="0" collapsed="false">
      <c r="A368" s="32" t="n">
        <v>345</v>
      </c>
      <c r="B368" s="33" t="s">
        <v>67</v>
      </c>
      <c r="C368" s="33" t="s">
        <v>1057</v>
      </c>
      <c r="D368" s="33" t="s">
        <v>1073</v>
      </c>
      <c r="E368" s="33"/>
      <c r="F368" s="33" t="s">
        <v>1074</v>
      </c>
      <c r="G368" s="33" t="s">
        <v>1075</v>
      </c>
      <c r="H368" s="33" t="s">
        <v>1076</v>
      </c>
      <c r="I368" s="26"/>
      <c r="J368" s="26"/>
      <c r="K368" s="26"/>
    </row>
    <row r="369" customFormat="false" ht="40.5" hidden="false" customHeight="true" outlineLevel="0" collapsed="false">
      <c r="A369" s="32" t="n">
        <v>346</v>
      </c>
      <c r="B369" s="33" t="s">
        <v>67</v>
      </c>
      <c r="C369" s="33" t="s">
        <v>1057</v>
      </c>
      <c r="D369" s="33" t="s">
        <v>1077</v>
      </c>
      <c r="E369" s="33"/>
      <c r="F369" s="33" t="s">
        <v>1078</v>
      </c>
      <c r="G369" s="33" t="s">
        <v>1079</v>
      </c>
      <c r="H369" s="33" t="s">
        <v>1076</v>
      </c>
      <c r="I369" s="26"/>
      <c r="J369" s="26"/>
      <c r="K369" s="26"/>
    </row>
    <row r="370" customFormat="false" ht="40.5" hidden="false" customHeight="true" outlineLevel="0" collapsed="false">
      <c r="A370" s="32" t="n">
        <v>347</v>
      </c>
      <c r="B370" s="33" t="s">
        <v>67</v>
      </c>
      <c r="C370" s="33" t="s">
        <v>1057</v>
      </c>
      <c r="D370" s="33" t="s">
        <v>1080</v>
      </c>
      <c r="E370" s="33"/>
      <c r="F370" s="33" t="s">
        <v>1081</v>
      </c>
      <c r="G370" s="33" t="s">
        <v>1082</v>
      </c>
      <c r="H370" s="33" t="s">
        <v>1076</v>
      </c>
      <c r="I370" s="26"/>
      <c r="J370" s="26"/>
      <c r="K370" s="26"/>
    </row>
    <row r="371" customFormat="false" ht="40.5" hidden="false" customHeight="true" outlineLevel="0" collapsed="false">
      <c r="A371" s="32" t="n">
        <v>348</v>
      </c>
      <c r="B371" s="33" t="s">
        <v>67</v>
      </c>
      <c r="C371" s="33" t="s">
        <v>1057</v>
      </c>
      <c r="D371" s="33" t="s">
        <v>1083</v>
      </c>
      <c r="E371" s="33"/>
      <c r="F371" s="33" t="s">
        <v>1084</v>
      </c>
      <c r="G371" s="33" t="s">
        <v>1085</v>
      </c>
      <c r="H371" s="33" t="s">
        <v>1076</v>
      </c>
      <c r="I371" s="26"/>
      <c r="J371" s="26"/>
      <c r="K371" s="26"/>
    </row>
    <row r="372" customFormat="false" ht="40.5" hidden="false" customHeight="true" outlineLevel="0" collapsed="false">
      <c r="A372" s="32" t="n">
        <v>349</v>
      </c>
      <c r="B372" s="33" t="s">
        <v>67</v>
      </c>
      <c r="C372" s="33" t="s">
        <v>1057</v>
      </c>
      <c r="D372" s="33" t="s">
        <v>1086</v>
      </c>
      <c r="E372" s="33"/>
      <c r="F372" s="33" t="s">
        <v>1087</v>
      </c>
      <c r="G372" s="33" t="s">
        <v>1088</v>
      </c>
      <c r="H372" s="33" t="s">
        <v>1076</v>
      </c>
      <c r="I372" s="26"/>
      <c r="J372" s="26"/>
      <c r="K372" s="26"/>
    </row>
    <row r="373" customFormat="false" ht="40.5" hidden="false" customHeight="true" outlineLevel="0" collapsed="false">
      <c r="A373" s="32" t="n">
        <v>350</v>
      </c>
      <c r="B373" s="33" t="s">
        <v>67</v>
      </c>
      <c r="C373" s="33" t="s">
        <v>1057</v>
      </c>
      <c r="D373" s="33" t="s">
        <v>1089</v>
      </c>
      <c r="E373" s="33"/>
      <c r="F373" s="33" t="s">
        <v>1090</v>
      </c>
      <c r="G373" s="33" t="s">
        <v>1091</v>
      </c>
      <c r="H373" s="33" t="s">
        <v>127</v>
      </c>
      <c r="I373" s="26"/>
      <c r="J373" s="26"/>
      <c r="K373" s="26"/>
    </row>
    <row r="374" customFormat="false" ht="40.5" hidden="false" customHeight="true" outlineLevel="0" collapsed="false">
      <c r="A374" s="32" t="n">
        <v>351</v>
      </c>
      <c r="B374" s="33" t="s">
        <v>67</v>
      </c>
      <c r="C374" s="33" t="s">
        <v>1057</v>
      </c>
      <c r="D374" s="33" t="s">
        <v>1092</v>
      </c>
      <c r="E374" s="33" t="s">
        <v>761</v>
      </c>
      <c r="F374" s="33" t="s">
        <v>1093</v>
      </c>
      <c r="G374" s="33" t="s">
        <v>1094</v>
      </c>
      <c r="H374" s="33"/>
      <c r="I374" s="26"/>
      <c r="J374" s="26"/>
      <c r="K374" s="26"/>
    </row>
    <row r="375" customFormat="false" ht="67.5" hidden="false" customHeight="true" outlineLevel="0" collapsed="false">
      <c r="A375" s="32" t="n">
        <v>352</v>
      </c>
      <c r="B375" s="33" t="s">
        <v>67</v>
      </c>
      <c r="C375" s="33" t="s">
        <v>1057</v>
      </c>
      <c r="D375" s="33" t="s">
        <v>1095</v>
      </c>
      <c r="E375" s="33" t="s">
        <v>761</v>
      </c>
      <c r="F375" s="33" t="s">
        <v>1096</v>
      </c>
      <c r="G375" s="33" t="s">
        <v>1097</v>
      </c>
      <c r="H375" s="33"/>
      <c r="I375" s="26"/>
      <c r="J375" s="26"/>
      <c r="K375" s="26"/>
    </row>
    <row r="376" customFormat="false" ht="40.5" hidden="false" customHeight="true" outlineLevel="0" collapsed="false">
      <c r="A376" s="32" t="n">
        <v>353</v>
      </c>
      <c r="B376" s="33" t="s">
        <v>67</v>
      </c>
      <c r="C376" s="33" t="s">
        <v>1057</v>
      </c>
      <c r="D376" s="33" t="s">
        <v>1098</v>
      </c>
      <c r="E376" s="33" t="s">
        <v>761</v>
      </c>
      <c r="F376" s="33" t="s">
        <v>1099</v>
      </c>
      <c r="G376" s="33" t="s">
        <v>1100</v>
      </c>
      <c r="H376" s="33"/>
      <c r="I376" s="26"/>
      <c r="J376" s="26"/>
      <c r="K376" s="26"/>
    </row>
    <row r="377" customFormat="false" ht="54" hidden="false" customHeight="true" outlineLevel="0" collapsed="false">
      <c r="A377" s="32" t="n">
        <v>354</v>
      </c>
      <c r="B377" s="33" t="s">
        <v>67</v>
      </c>
      <c r="C377" s="33" t="s">
        <v>1057</v>
      </c>
      <c r="D377" s="33" t="s">
        <v>1092</v>
      </c>
      <c r="E377" s="33" t="s">
        <v>890</v>
      </c>
      <c r="F377" s="33" t="s">
        <v>1101</v>
      </c>
      <c r="G377" s="33" t="s">
        <v>1102</v>
      </c>
      <c r="H377" s="33"/>
      <c r="I377" s="26"/>
      <c r="J377" s="26"/>
      <c r="K377" s="26"/>
    </row>
    <row r="378" customFormat="false" ht="54" hidden="false" customHeight="true" outlineLevel="0" collapsed="false">
      <c r="A378" s="32" t="n">
        <v>355</v>
      </c>
      <c r="B378" s="33" t="s">
        <v>67</v>
      </c>
      <c r="C378" s="33" t="s">
        <v>1057</v>
      </c>
      <c r="D378" s="33" t="s">
        <v>1095</v>
      </c>
      <c r="E378" s="33" t="s">
        <v>890</v>
      </c>
      <c r="F378" s="33" t="s">
        <v>1103</v>
      </c>
      <c r="G378" s="33" t="s">
        <v>1104</v>
      </c>
      <c r="H378" s="33"/>
      <c r="I378" s="26"/>
      <c r="J378" s="26"/>
      <c r="K378" s="26"/>
    </row>
    <row r="379" customFormat="false" ht="40.5" hidden="false" customHeight="true" outlineLevel="0" collapsed="false">
      <c r="A379" s="32" t="n">
        <v>356</v>
      </c>
      <c r="B379" s="33" t="s">
        <v>67</v>
      </c>
      <c r="C379" s="33" t="s">
        <v>1057</v>
      </c>
      <c r="D379" s="33" t="s">
        <v>1098</v>
      </c>
      <c r="E379" s="33" t="s">
        <v>890</v>
      </c>
      <c r="F379" s="33" t="s">
        <v>1105</v>
      </c>
      <c r="G379" s="33" t="s">
        <v>1106</v>
      </c>
      <c r="H379" s="33"/>
      <c r="I379" s="26"/>
      <c r="J379" s="26"/>
      <c r="K379" s="26"/>
    </row>
    <row r="380" customFormat="false" ht="54" hidden="false" customHeight="true" outlineLevel="0" collapsed="false">
      <c r="A380" s="32" t="n">
        <v>357</v>
      </c>
      <c r="B380" s="33" t="s">
        <v>67</v>
      </c>
      <c r="C380" s="33" t="s">
        <v>1057</v>
      </c>
      <c r="D380" s="33" t="s">
        <v>1092</v>
      </c>
      <c r="E380" s="33" t="s">
        <v>893</v>
      </c>
      <c r="F380" s="33" t="s">
        <v>1107</v>
      </c>
      <c r="G380" s="33" t="s">
        <v>1108</v>
      </c>
      <c r="H380" s="33"/>
      <c r="I380" s="26"/>
      <c r="J380" s="26"/>
      <c r="K380" s="26"/>
    </row>
    <row r="381" customFormat="false" ht="67.5" hidden="false" customHeight="true" outlineLevel="0" collapsed="false">
      <c r="A381" s="32" t="n">
        <v>358</v>
      </c>
      <c r="B381" s="33" t="s">
        <v>67</v>
      </c>
      <c r="C381" s="33" t="s">
        <v>1057</v>
      </c>
      <c r="D381" s="33" t="s">
        <v>1095</v>
      </c>
      <c r="E381" s="33" t="s">
        <v>893</v>
      </c>
      <c r="F381" s="33" t="s">
        <v>1109</v>
      </c>
      <c r="G381" s="33" t="s">
        <v>1110</v>
      </c>
      <c r="H381" s="33"/>
      <c r="I381" s="26"/>
      <c r="J381" s="26"/>
      <c r="K381" s="26"/>
    </row>
    <row r="382" customFormat="false" ht="40.5" hidden="false" customHeight="true" outlineLevel="0" collapsed="false">
      <c r="A382" s="32" t="n">
        <v>359</v>
      </c>
      <c r="B382" s="33" t="s">
        <v>67</v>
      </c>
      <c r="C382" s="33" t="s">
        <v>1057</v>
      </c>
      <c r="D382" s="33" t="s">
        <v>1098</v>
      </c>
      <c r="E382" s="33" t="s">
        <v>893</v>
      </c>
      <c r="F382" s="33" t="s">
        <v>1111</v>
      </c>
      <c r="G382" s="33" t="s">
        <v>1112</v>
      </c>
      <c r="H382" s="33"/>
      <c r="I382" s="26"/>
      <c r="J382" s="26"/>
      <c r="K382" s="26"/>
    </row>
    <row r="383" customFormat="false" ht="67.5" hidden="false" customHeight="true" outlineLevel="0" collapsed="false">
      <c r="A383" s="32" t="n">
        <v>360</v>
      </c>
      <c r="B383" s="33" t="s">
        <v>67</v>
      </c>
      <c r="C383" s="33" t="s">
        <v>1057</v>
      </c>
      <c r="D383" s="33" t="s">
        <v>1092</v>
      </c>
      <c r="E383" s="33" t="s">
        <v>896</v>
      </c>
      <c r="F383" s="33" t="s">
        <v>1113</v>
      </c>
      <c r="G383" s="33" t="s">
        <v>1114</v>
      </c>
      <c r="H383" s="33"/>
      <c r="I383" s="26"/>
      <c r="J383" s="26"/>
      <c r="K383" s="26"/>
    </row>
    <row r="384" customFormat="false" ht="54" hidden="false" customHeight="true" outlineLevel="0" collapsed="false">
      <c r="A384" s="32" t="n">
        <v>361</v>
      </c>
      <c r="B384" s="33" t="s">
        <v>67</v>
      </c>
      <c r="C384" s="33" t="s">
        <v>1057</v>
      </c>
      <c r="D384" s="33" t="s">
        <v>1095</v>
      </c>
      <c r="E384" s="33" t="s">
        <v>896</v>
      </c>
      <c r="F384" s="33" t="s">
        <v>1115</v>
      </c>
      <c r="G384" s="33" t="s">
        <v>1116</v>
      </c>
      <c r="H384" s="33"/>
      <c r="I384" s="26"/>
      <c r="J384" s="26"/>
      <c r="K384" s="26"/>
    </row>
    <row r="385" customFormat="false" ht="40.5" hidden="false" customHeight="true" outlineLevel="0" collapsed="false">
      <c r="A385" s="32" t="n">
        <v>362</v>
      </c>
      <c r="B385" s="33" t="s">
        <v>67</v>
      </c>
      <c r="C385" s="33" t="s">
        <v>1057</v>
      </c>
      <c r="D385" s="33" t="s">
        <v>1098</v>
      </c>
      <c r="E385" s="33" t="s">
        <v>896</v>
      </c>
      <c r="F385" s="33" t="s">
        <v>1117</v>
      </c>
      <c r="G385" s="33" t="s">
        <v>1118</v>
      </c>
      <c r="H385" s="33"/>
      <c r="I385" s="26"/>
      <c r="J385" s="26"/>
      <c r="K385" s="26"/>
    </row>
    <row r="386" customFormat="false" ht="40.5" hidden="false" customHeight="true" outlineLevel="0" collapsed="false">
      <c r="A386" s="32" t="n">
        <v>363</v>
      </c>
      <c r="B386" s="33" t="s">
        <v>67</v>
      </c>
      <c r="C386" s="33" t="s">
        <v>1119</v>
      </c>
      <c r="D386" s="33" t="s">
        <v>754</v>
      </c>
      <c r="E386" s="33" t="s">
        <v>755</v>
      </c>
      <c r="F386" s="33" t="s">
        <v>1120</v>
      </c>
      <c r="G386" s="33" t="s">
        <v>1121</v>
      </c>
      <c r="H386" s="33"/>
      <c r="I386" s="26"/>
      <c r="J386" s="26"/>
      <c r="K386" s="26"/>
    </row>
    <row r="387" customFormat="false" ht="40.5" hidden="false" customHeight="true" outlineLevel="0" collapsed="false">
      <c r="A387" s="32" t="n">
        <v>364</v>
      </c>
      <c r="B387" s="33" t="s">
        <v>67</v>
      </c>
      <c r="C387" s="33" t="s">
        <v>1119</v>
      </c>
      <c r="D387" s="33" t="s">
        <v>754</v>
      </c>
      <c r="E387" s="33" t="s">
        <v>756</v>
      </c>
      <c r="F387" s="33" t="s">
        <v>1122</v>
      </c>
      <c r="G387" s="33" t="s">
        <v>1123</v>
      </c>
      <c r="H387" s="33"/>
      <c r="I387" s="26"/>
      <c r="J387" s="26"/>
      <c r="K387" s="26"/>
    </row>
    <row r="388" customFormat="false" ht="40.5" hidden="false" customHeight="true" outlineLevel="0" collapsed="false">
      <c r="A388" s="32" t="n">
        <v>365</v>
      </c>
      <c r="B388" s="33" t="s">
        <v>67</v>
      </c>
      <c r="C388" s="33" t="s">
        <v>1119</v>
      </c>
      <c r="D388" s="33" t="s">
        <v>312</v>
      </c>
      <c r="E388" s="33" t="s">
        <v>1027</v>
      </c>
      <c r="F388" s="33" t="s">
        <v>1124</v>
      </c>
      <c r="G388" s="33" t="s">
        <v>1125</v>
      </c>
      <c r="H388" s="33"/>
      <c r="I388" s="26"/>
      <c r="J388" s="26"/>
      <c r="K388" s="26"/>
    </row>
    <row r="389" customFormat="false" ht="54" hidden="false" customHeight="true" outlineLevel="0" collapsed="false">
      <c r="A389" s="27" t="s">
        <v>1126</v>
      </c>
      <c r="B389" s="28" t="s">
        <v>67</v>
      </c>
      <c r="C389" s="28" t="s">
        <v>1119</v>
      </c>
      <c r="D389" s="28" t="s">
        <v>316</v>
      </c>
      <c r="E389" s="28" t="s">
        <v>1127</v>
      </c>
      <c r="F389" s="28" t="s">
        <v>1128</v>
      </c>
      <c r="G389" s="28" t="s">
        <v>1129</v>
      </c>
      <c r="H389" s="28" t="s">
        <v>1130</v>
      </c>
      <c r="I389" s="28"/>
      <c r="J389" s="28"/>
      <c r="K389" s="26"/>
    </row>
    <row r="390" customFormat="false" ht="40.5" hidden="false" customHeight="true" outlineLevel="0" collapsed="false">
      <c r="A390" s="32" t="n">
        <v>366</v>
      </c>
      <c r="B390" s="33" t="s">
        <v>67</v>
      </c>
      <c r="C390" s="33" t="s">
        <v>1119</v>
      </c>
      <c r="D390" s="33" t="s">
        <v>1131</v>
      </c>
      <c r="E390" s="33" t="s">
        <v>755</v>
      </c>
      <c r="F390" s="33" t="s">
        <v>1132</v>
      </c>
      <c r="G390" s="33" t="s">
        <v>1133</v>
      </c>
      <c r="H390" s="33" t="s">
        <v>1134</v>
      </c>
      <c r="I390" s="26"/>
      <c r="J390" s="26"/>
      <c r="K390" s="26"/>
    </row>
    <row r="391" customFormat="false" ht="40.5" hidden="false" customHeight="true" outlineLevel="0" collapsed="false">
      <c r="A391" s="32" t="n">
        <v>367</v>
      </c>
      <c r="B391" s="33" t="s">
        <v>67</v>
      </c>
      <c r="C391" s="33" t="s">
        <v>1119</v>
      </c>
      <c r="D391" s="33" t="s">
        <v>1131</v>
      </c>
      <c r="E391" s="33" t="s">
        <v>756</v>
      </c>
      <c r="F391" s="33" t="s">
        <v>1135</v>
      </c>
      <c r="G391" s="33" t="s">
        <v>1136</v>
      </c>
      <c r="H391" s="33" t="s">
        <v>1134</v>
      </c>
      <c r="I391" s="26"/>
      <c r="J391" s="26"/>
      <c r="K391" s="26"/>
    </row>
    <row r="392" customFormat="false" ht="40.5" hidden="false" customHeight="true" outlineLevel="0" collapsed="false">
      <c r="A392" s="32" t="n">
        <v>368</v>
      </c>
      <c r="B392" s="33" t="s">
        <v>67</v>
      </c>
      <c r="C392" s="33" t="s">
        <v>1119</v>
      </c>
      <c r="D392" s="33" t="s">
        <v>1137</v>
      </c>
      <c r="E392" s="33"/>
      <c r="F392" s="33" t="s">
        <v>1138</v>
      </c>
      <c r="G392" s="34" t="s">
        <v>1138</v>
      </c>
      <c r="H392" s="33" t="s">
        <v>1139</v>
      </c>
      <c r="I392" s="26"/>
      <c r="J392" s="26"/>
      <c r="K392" s="26"/>
    </row>
    <row r="393" customFormat="false" ht="40.5" hidden="false" customHeight="true" outlineLevel="0" collapsed="false">
      <c r="A393" s="32" t="n">
        <v>369</v>
      </c>
      <c r="B393" s="33" t="s">
        <v>67</v>
      </c>
      <c r="C393" s="33" t="s">
        <v>1119</v>
      </c>
      <c r="D393" s="33" t="s">
        <v>1140</v>
      </c>
      <c r="E393" s="33"/>
      <c r="F393" s="33" t="s">
        <v>1141</v>
      </c>
      <c r="G393" s="33" t="s">
        <v>1142</v>
      </c>
      <c r="H393" s="33"/>
      <c r="I393" s="26"/>
      <c r="J393" s="26"/>
      <c r="K393" s="26"/>
    </row>
    <row r="394" customFormat="false" ht="40.5" hidden="false" customHeight="true" outlineLevel="0" collapsed="false">
      <c r="A394" s="32" t="n">
        <v>370</v>
      </c>
      <c r="B394" s="33" t="s">
        <v>67</v>
      </c>
      <c r="C394" s="33" t="s">
        <v>1119</v>
      </c>
      <c r="D394" s="33" t="s">
        <v>1143</v>
      </c>
      <c r="E394" s="33"/>
      <c r="F394" s="33" t="s">
        <v>1144</v>
      </c>
      <c r="G394" s="33" t="s">
        <v>1145</v>
      </c>
      <c r="H394" s="33"/>
      <c r="I394" s="26"/>
      <c r="J394" s="26"/>
      <c r="K394" s="26"/>
    </row>
    <row r="395" customFormat="false" ht="40.5" hidden="false" customHeight="true" outlineLevel="0" collapsed="false">
      <c r="A395" s="32" t="n">
        <v>371</v>
      </c>
      <c r="B395" s="33" t="s">
        <v>67</v>
      </c>
      <c r="C395" s="33" t="s">
        <v>1119</v>
      </c>
      <c r="D395" s="33" t="s">
        <v>1146</v>
      </c>
      <c r="E395" s="33"/>
      <c r="F395" s="33" t="s">
        <v>276</v>
      </c>
      <c r="G395" s="33" t="s">
        <v>1147</v>
      </c>
      <c r="H395" s="33"/>
      <c r="I395" s="26"/>
      <c r="J395" s="26"/>
      <c r="K395" s="26"/>
    </row>
    <row r="396" customFormat="false" ht="40.5" hidden="false" customHeight="true" outlineLevel="0" collapsed="false">
      <c r="A396" s="32" t="n">
        <v>372</v>
      </c>
      <c r="B396" s="33" t="s">
        <v>67</v>
      </c>
      <c r="C396" s="33" t="s">
        <v>1119</v>
      </c>
      <c r="D396" s="33" t="s">
        <v>1148</v>
      </c>
      <c r="E396" s="33"/>
      <c r="F396" s="33" t="s">
        <v>1149</v>
      </c>
      <c r="G396" s="33" t="s">
        <v>1150</v>
      </c>
      <c r="H396" s="33"/>
      <c r="I396" s="26"/>
      <c r="J396" s="26"/>
      <c r="K396" s="26"/>
    </row>
    <row r="397" customFormat="false" ht="54" hidden="false" customHeight="true" outlineLevel="0" collapsed="false">
      <c r="A397" s="32" t="n">
        <v>373</v>
      </c>
      <c r="B397" s="33" t="s">
        <v>67</v>
      </c>
      <c r="C397" s="33" t="s">
        <v>1119</v>
      </c>
      <c r="D397" s="33" t="s">
        <v>1151</v>
      </c>
      <c r="E397" s="33"/>
      <c r="F397" s="33" t="s">
        <v>1152</v>
      </c>
      <c r="G397" s="33" t="s">
        <v>1153</v>
      </c>
      <c r="H397" s="33"/>
      <c r="I397" s="26"/>
      <c r="J397" s="26"/>
      <c r="K397" s="26"/>
    </row>
    <row r="398" customFormat="false" ht="40.5" hidden="false" customHeight="true" outlineLevel="0" collapsed="false">
      <c r="A398" s="32" t="n">
        <v>374</v>
      </c>
      <c r="B398" s="33" t="s">
        <v>67</v>
      </c>
      <c r="C398" s="33" t="s">
        <v>1119</v>
      </c>
      <c r="D398" s="33" t="s">
        <v>1154</v>
      </c>
      <c r="E398" s="33"/>
      <c r="F398" s="33" t="s">
        <v>279</v>
      </c>
      <c r="G398" s="33" t="s">
        <v>1155</v>
      </c>
      <c r="H398" s="33"/>
      <c r="I398" s="26"/>
      <c r="J398" s="26"/>
      <c r="K398" s="26"/>
    </row>
    <row r="399" customFormat="false" ht="40.5" hidden="false" customHeight="true" outlineLevel="0" collapsed="false">
      <c r="A399" s="32" t="n">
        <v>375</v>
      </c>
      <c r="B399" s="33" t="s">
        <v>67</v>
      </c>
      <c r="C399" s="33" t="s">
        <v>1119</v>
      </c>
      <c r="D399" s="33" t="s">
        <v>1156</v>
      </c>
      <c r="E399" s="33"/>
      <c r="F399" s="33" t="s">
        <v>1157</v>
      </c>
      <c r="G399" s="33" t="s">
        <v>1158</v>
      </c>
      <c r="H399" s="33"/>
      <c r="I399" s="26"/>
      <c r="J399" s="26"/>
      <c r="K399" s="26"/>
    </row>
    <row r="400" customFormat="false" ht="54" hidden="false" customHeight="true" outlineLevel="0" collapsed="false">
      <c r="A400" s="32" t="n">
        <v>376</v>
      </c>
      <c r="B400" s="33" t="s">
        <v>67</v>
      </c>
      <c r="C400" s="33" t="s">
        <v>1119</v>
      </c>
      <c r="D400" s="33" t="s">
        <v>1159</v>
      </c>
      <c r="E400" s="33"/>
      <c r="F400" s="33" t="s">
        <v>1160</v>
      </c>
      <c r="G400" s="33" t="s">
        <v>1161</v>
      </c>
      <c r="H400" s="33"/>
      <c r="I400" s="26"/>
      <c r="J400" s="26"/>
      <c r="K400" s="26"/>
    </row>
    <row r="401" customFormat="false" ht="40.5" hidden="false" customHeight="true" outlineLevel="0" collapsed="false">
      <c r="A401" s="32" t="n">
        <v>377</v>
      </c>
      <c r="B401" s="33" t="s">
        <v>67</v>
      </c>
      <c r="C401" s="33" t="s">
        <v>1119</v>
      </c>
      <c r="D401" s="33" t="s">
        <v>1162</v>
      </c>
      <c r="E401" s="33"/>
      <c r="F401" s="33" t="s">
        <v>282</v>
      </c>
      <c r="G401" s="33" t="s">
        <v>1163</v>
      </c>
      <c r="H401" s="33"/>
      <c r="I401" s="26"/>
      <c r="J401" s="26"/>
      <c r="K401" s="26"/>
    </row>
    <row r="402" customFormat="false" ht="40.5" hidden="false" customHeight="true" outlineLevel="0" collapsed="false">
      <c r="A402" s="32" t="n">
        <v>378</v>
      </c>
      <c r="B402" s="33" t="s">
        <v>67</v>
      </c>
      <c r="C402" s="33" t="s">
        <v>1119</v>
      </c>
      <c r="D402" s="33" t="s">
        <v>1164</v>
      </c>
      <c r="E402" s="33"/>
      <c r="F402" s="33" t="s">
        <v>1165</v>
      </c>
      <c r="G402" s="33" t="s">
        <v>1166</v>
      </c>
      <c r="H402" s="33"/>
      <c r="I402" s="26"/>
      <c r="J402" s="26"/>
      <c r="K402" s="26"/>
    </row>
    <row r="403" customFormat="false" ht="54" hidden="false" customHeight="true" outlineLevel="0" collapsed="false">
      <c r="A403" s="32" t="n">
        <v>379</v>
      </c>
      <c r="B403" s="33" t="s">
        <v>67</v>
      </c>
      <c r="C403" s="33" t="s">
        <v>1119</v>
      </c>
      <c r="D403" s="33" t="s">
        <v>1167</v>
      </c>
      <c r="E403" s="33"/>
      <c r="F403" s="33" t="s">
        <v>1168</v>
      </c>
      <c r="G403" s="33" t="s">
        <v>1169</v>
      </c>
      <c r="H403" s="33"/>
      <c r="I403" s="26"/>
      <c r="J403" s="26"/>
      <c r="K403" s="26"/>
    </row>
    <row r="404" customFormat="false" ht="40.5" hidden="false" customHeight="true" outlineLevel="0" collapsed="false">
      <c r="A404" s="32" t="n">
        <v>380</v>
      </c>
      <c r="B404" s="33" t="s">
        <v>67</v>
      </c>
      <c r="C404" s="33" t="s">
        <v>1119</v>
      </c>
      <c r="D404" s="33" t="s">
        <v>1170</v>
      </c>
      <c r="E404" s="33"/>
      <c r="F404" s="33" t="s">
        <v>1074</v>
      </c>
      <c r="G404" s="33" t="s">
        <v>1075</v>
      </c>
      <c r="H404" s="33"/>
      <c r="I404" s="26"/>
      <c r="J404" s="26"/>
      <c r="K404" s="26"/>
    </row>
    <row r="405" customFormat="false" ht="40.5" hidden="false" customHeight="true" outlineLevel="0" collapsed="false">
      <c r="A405" s="32" t="n">
        <v>381</v>
      </c>
      <c r="B405" s="33" t="s">
        <v>67</v>
      </c>
      <c r="C405" s="33" t="s">
        <v>1119</v>
      </c>
      <c r="D405" s="33" t="s">
        <v>1171</v>
      </c>
      <c r="E405" s="33"/>
      <c r="F405" s="33" t="s">
        <v>1172</v>
      </c>
      <c r="G405" s="33" t="s">
        <v>1173</v>
      </c>
      <c r="H405" s="33"/>
      <c r="I405" s="26"/>
      <c r="J405" s="26"/>
      <c r="K405" s="26"/>
    </row>
    <row r="406" customFormat="false" ht="40.5" hidden="false" customHeight="true" outlineLevel="0" collapsed="false">
      <c r="A406" s="32" t="n">
        <v>382</v>
      </c>
      <c r="B406" s="33" t="s">
        <v>67</v>
      </c>
      <c r="C406" s="33" t="s">
        <v>1119</v>
      </c>
      <c r="D406" s="33" t="s">
        <v>1174</v>
      </c>
      <c r="E406" s="33"/>
      <c r="F406" s="33" t="s">
        <v>1175</v>
      </c>
      <c r="G406" s="33" t="s">
        <v>1176</v>
      </c>
      <c r="H406" s="33"/>
      <c r="I406" s="26"/>
      <c r="J406" s="26"/>
      <c r="K406" s="26"/>
    </row>
    <row r="407" customFormat="false" ht="40.5" hidden="false" customHeight="true" outlineLevel="0" collapsed="false">
      <c r="A407" s="32" t="n">
        <v>383</v>
      </c>
      <c r="B407" s="33" t="s">
        <v>67</v>
      </c>
      <c r="C407" s="33" t="s">
        <v>1119</v>
      </c>
      <c r="D407" s="33" t="s">
        <v>1177</v>
      </c>
      <c r="E407" s="33"/>
      <c r="F407" s="33" t="s">
        <v>1078</v>
      </c>
      <c r="G407" s="33" t="s">
        <v>1079</v>
      </c>
      <c r="H407" s="33"/>
      <c r="I407" s="26"/>
      <c r="J407" s="26"/>
      <c r="K407" s="26"/>
    </row>
    <row r="408" customFormat="false" ht="40.5" hidden="false" customHeight="true" outlineLevel="0" collapsed="false">
      <c r="A408" s="32" t="n">
        <v>384</v>
      </c>
      <c r="B408" s="33" t="s">
        <v>67</v>
      </c>
      <c r="C408" s="33" t="s">
        <v>1119</v>
      </c>
      <c r="D408" s="33" t="s">
        <v>204</v>
      </c>
      <c r="E408" s="33"/>
      <c r="F408" s="33" t="s">
        <v>1178</v>
      </c>
      <c r="G408" s="33" t="s">
        <v>1179</v>
      </c>
      <c r="H408" s="33" t="s">
        <v>1180</v>
      </c>
      <c r="I408" s="26"/>
      <c r="J408" s="26"/>
      <c r="K408" s="26"/>
    </row>
    <row r="409" customFormat="false" ht="40.5" hidden="false" customHeight="true" outlineLevel="0" collapsed="false">
      <c r="A409" s="32" t="n">
        <v>385</v>
      </c>
      <c r="B409" s="33" t="s">
        <v>67</v>
      </c>
      <c r="C409" s="33" t="s">
        <v>1119</v>
      </c>
      <c r="D409" s="33" t="s">
        <v>1181</v>
      </c>
      <c r="E409" s="33"/>
      <c r="F409" s="33" t="s">
        <v>1182</v>
      </c>
      <c r="G409" s="33" t="s">
        <v>1183</v>
      </c>
      <c r="H409" s="33"/>
      <c r="I409" s="26"/>
      <c r="J409" s="26"/>
      <c r="K409" s="26"/>
    </row>
    <row r="410" customFormat="false" ht="81" hidden="false" customHeight="true" outlineLevel="0" collapsed="false">
      <c r="A410" s="32" t="n">
        <v>386</v>
      </c>
      <c r="B410" s="33" t="s">
        <v>67</v>
      </c>
      <c r="C410" s="33" t="s">
        <v>1119</v>
      </c>
      <c r="D410" s="33" t="s">
        <v>1184</v>
      </c>
      <c r="E410" s="33"/>
      <c r="F410" s="33" t="s">
        <v>1185</v>
      </c>
      <c r="G410" s="33" t="s">
        <v>1186</v>
      </c>
      <c r="H410" s="33"/>
      <c r="I410" s="26"/>
      <c r="J410" s="26"/>
      <c r="K410" s="26"/>
    </row>
    <row r="411" customFormat="false" ht="40.5" hidden="false" customHeight="true" outlineLevel="0" collapsed="false">
      <c r="A411" s="32" t="n">
        <v>387</v>
      </c>
      <c r="B411" s="33" t="s">
        <v>67</v>
      </c>
      <c r="C411" s="33" t="s">
        <v>1119</v>
      </c>
      <c r="D411" s="33" t="s">
        <v>1187</v>
      </c>
      <c r="E411" s="33"/>
      <c r="F411" s="33" t="s">
        <v>1188</v>
      </c>
      <c r="G411" s="33" t="s">
        <v>1189</v>
      </c>
      <c r="H411" s="33"/>
      <c r="I411" s="26"/>
      <c r="J411" s="26"/>
      <c r="K411" s="26"/>
    </row>
    <row r="412" customFormat="false" ht="40.5" hidden="false" customHeight="true" outlineLevel="0" collapsed="false">
      <c r="A412" s="32" t="n">
        <v>388</v>
      </c>
      <c r="B412" s="33" t="s">
        <v>67</v>
      </c>
      <c r="C412" s="33" t="s">
        <v>1119</v>
      </c>
      <c r="D412" s="33" t="s">
        <v>1190</v>
      </c>
      <c r="E412" s="33"/>
      <c r="F412" s="33" t="s">
        <v>1191</v>
      </c>
      <c r="G412" s="33" t="s">
        <v>1192</v>
      </c>
      <c r="H412" s="33"/>
      <c r="I412" s="26"/>
      <c r="J412" s="26"/>
      <c r="K412" s="26"/>
    </row>
    <row r="413" customFormat="false" ht="40.5" hidden="false" customHeight="true" outlineLevel="0" collapsed="false">
      <c r="A413" s="32" t="n">
        <v>389</v>
      </c>
      <c r="B413" s="33" t="s">
        <v>67</v>
      </c>
      <c r="C413" s="33" t="s">
        <v>1119</v>
      </c>
      <c r="D413" s="33" t="s">
        <v>1193</v>
      </c>
      <c r="E413" s="33"/>
      <c r="F413" s="33" t="s">
        <v>1194</v>
      </c>
      <c r="G413" s="33" t="s">
        <v>1195</v>
      </c>
      <c r="H413" s="33"/>
      <c r="I413" s="26"/>
      <c r="J413" s="26"/>
      <c r="K413" s="26"/>
    </row>
    <row r="414" customFormat="false" ht="40.5" hidden="false" customHeight="true" outlineLevel="0" collapsed="false">
      <c r="A414" s="32" t="n">
        <v>390</v>
      </c>
      <c r="B414" s="33" t="s">
        <v>67</v>
      </c>
      <c r="C414" s="33" t="s">
        <v>1196</v>
      </c>
      <c r="D414" s="33" t="s">
        <v>754</v>
      </c>
      <c r="E414" s="33"/>
      <c r="F414" s="33" t="s">
        <v>1197</v>
      </c>
      <c r="G414" s="33" t="s">
        <v>1198</v>
      </c>
      <c r="H414" s="33"/>
      <c r="I414" s="26"/>
      <c r="J414" s="26"/>
      <c r="K414" s="26"/>
    </row>
    <row r="415" customFormat="false" ht="40.5" hidden="false" customHeight="true" outlineLevel="0" collapsed="false">
      <c r="A415" s="32" t="n">
        <v>391</v>
      </c>
      <c r="B415" s="33" t="s">
        <v>67</v>
      </c>
      <c r="C415" s="33" t="s">
        <v>1196</v>
      </c>
      <c r="D415" s="33" t="s">
        <v>312</v>
      </c>
      <c r="E415" s="33"/>
      <c r="F415" s="33" t="s">
        <v>1199</v>
      </c>
      <c r="G415" s="33" t="s">
        <v>1200</v>
      </c>
      <c r="H415" s="33"/>
      <c r="I415" s="26"/>
      <c r="J415" s="26"/>
      <c r="K415" s="26"/>
    </row>
    <row r="416" customFormat="false" ht="67.5" hidden="false" customHeight="true" outlineLevel="0" collapsed="false">
      <c r="A416" s="32" t="n">
        <v>392</v>
      </c>
      <c r="B416" s="33" t="s">
        <v>67</v>
      </c>
      <c r="C416" s="33" t="s">
        <v>1196</v>
      </c>
      <c r="D416" s="33" t="s">
        <v>1201</v>
      </c>
      <c r="E416" s="33"/>
      <c r="F416" s="33" t="s">
        <v>1202</v>
      </c>
      <c r="G416" s="33" t="s">
        <v>1203</v>
      </c>
      <c r="H416" s="33"/>
      <c r="I416" s="26"/>
      <c r="J416" s="26"/>
      <c r="K416" s="26"/>
    </row>
    <row r="417" customFormat="false" ht="40.5" hidden="false" customHeight="true" outlineLevel="0" collapsed="false">
      <c r="A417" s="32" t="n">
        <v>393</v>
      </c>
      <c r="B417" s="33" t="s">
        <v>67</v>
      </c>
      <c r="C417" s="33" t="s">
        <v>1196</v>
      </c>
      <c r="D417" s="33" t="s">
        <v>1204</v>
      </c>
      <c r="E417" s="33"/>
      <c r="F417" s="33" t="s">
        <v>1205</v>
      </c>
      <c r="G417" s="33" t="s">
        <v>1206</v>
      </c>
      <c r="H417" s="33"/>
      <c r="I417" s="26"/>
      <c r="J417" s="26"/>
      <c r="K417" s="26"/>
    </row>
    <row r="418" customFormat="false" ht="40.5" hidden="false" customHeight="true" outlineLevel="0" collapsed="false">
      <c r="A418" s="32" t="n">
        <v>394</v>
      </c>
      <c r="B418" s="33" t="s">
        <v>67</v>
      </c>
      <c r="C418" s="33" t="s">
        <v>1196</v>
      </c>
      <c r="D418" s="33" t="s">
        <v>1207</v>
      </c>
      <c r="E418" s="33"/>
      <c r="F418" s="33" t="s">
        <v>1208</v>
      </c>
      <c r="G418" s="33" t="s">
        <v>1209</v>
      </c>
      <c r="H418" s="33"/>
      <c r="I418" s="26"/>
      <c r="J418" s="26"/>
      <c r="K418" s="26"/>
    </row>
    <row r="419" customFormat="false" ht="40.5" hidden="false" customHeight="true" outlineLevel="0" collapsed="false">
      <c r="A419" s="32" t="n">
        <v>395</v>
      </c>
      <c r="B419" s="33" t="s">
        <v>67</v>
      </c>
      <c r="C419" s="33" t="s">
        <v>1196</v>
      </c>
      <c r="D419" s="33" t="s">
        <v>1210</v>
      </c>
      <c r="E419" s="33"/>
      <c r="F419" s="33" t="s">
        <v>1211</v>
      </c>
      <c r="G419" s="33" t="s">
        <v>1212</v>
      </c>
      <c r="H419" s="33"/>
      <c r="I419" s="26"/>
      <c r="J419" s="26"/>
      <c r="K419" s="26"/>
    </row>
    <row r="420" customFormat="false" ht="40.5" hidden="false" customHeight="true" outlineLevel="0" collapsed="false">
      <c r="A420" s="32" t="n">
        <v>396</v>
      </c>
      <c r="B420" s="33" t="s">
        <v>67</v>
      </c>
      <c r="C420" s="33" t="s">
        <v>1196</v>
      </c>
      <c r="D420" s="33" t="s">
        <v>1213</v>
      </c>
      <c r="E420" s="33"/>
      <c r="F420" s="33" t="s">
        <v>1214</v>
      </c>
      <c r="G420" s="33" t="s">
        <v>1215</v>
      </c>
      <c r="H420" s="33"/>
      <c r="I420" s="26"/>
      <c r="J420" s="26"/>
      <c r="K420" s="26"/>
    </row>
    <row r="421" customFormat="false" ht="40.5" hidden="false" customHeight="true" outlineLevel="0" collapsed="false">
      <c r="A421" s="32" t="n">
        <v>397</v>
      </c>
      <c r="B421" s="33" t="s">
        <v>67</v>
      </c>
      <c r="C421" s="33" t="s">
        <v>1196</v>
      </c>
      <c r="D421" s="33" t="s">
        <v>1216</v>
      </c>
      <c r="E421" s="33"/>
      <c r="F421" s="33" t="s">
        <v>1217</v>
      </c>
      <c r="G421" s="33" t="s">
        <v>1218</v>
      </c>
      <c r="H421" s="33"/>
      <c r="I421" s="26"/>
      <c r="J421" s="26"/>
      <c r="K421" s="26"/>
    </row>
    <row r="422" customFormat="false" ht="40.5" hidden="false" customHeight="true" outlineLevel="0" collapsed="false">
      <c r="A422" s="32" t="n">
        <v>398</v>
      </c>
      <c r="B422" s="33" t="s">
        <v>67</v>
      </c>
      <c r="C422" s="33" t="s">
        <v>1196</v>
      </c>
      <c r="D422" s="33" t="s">
        <v>1219</v>
      </c>
      <c r="E422" s="33"/>
      <c r="F422" s="33" t="s">
        <v>1220</v>
      </c>
      <c r="G422" s="33" t="s">
        <v>1221</v>
      </c>
      <c r="H422" s="33"/>
      <c r="I422" s="26"/>
      <c r="J422" s="26"/>
      <c r="K422" s="26"/>
    </row>
    <row r="423" customFormat="false" ht="40.5" hidden="false" customHeight="true" outlineLevel="0" collapsed="false">
      <c r="A423" s="32" t="n">
        <v>399</v>
      </c>
      <c r="B423" s="33" t="s">
        <v>67</v>
      </c>
      <c r="C423" s="33" t="s">
        <v>1196</v>
      </c>
      <c r="D423" s="33" t="s">
        <v>1222</v>
      </c>
      <c r="E423" s="33"/>
      <c r="F423" s="33" t="s">
        <v>1223</v>
      </c>
      <c r="G423" s="33" t="s">
        <v>1224</v>
      </c>
      <c r="H423" s="33"/>
      <c r="I423" s="26"/>
      <c r="J423" s="26"/>
      <c r="K423" s="26"/>
    </row>
    <row r="424" customFormat="false" ht="40.5" hidden="false" customHeight="true" outlineLevel="0" collapsed="false">
      <c r="A424" s="32" t="n">
        <v>400</v>
      </c>
      <c r="B424" s="33" t="s">
        <v>67</v>
      </c>
      <c r="C424" s="33" t="s">
        <v>1196</v>
      </c>
      <c r="D424" s="33" t="s">
        <v>1225</v>
      </c>
      <c r="E424" s="33"/>
      <c r="F424" s="33" t="s">
        <v>1226</v>
      </c>
      <c r="G424" s="33" t="s">
        <v>1227</v>
      </c>
      <c r="H424" s="33"/>
      <c r="I424" s="26"/>
      <c r="J424" s="26"/>
      <c r="K424" s="26"/>
    </row>
    <row r="425" customFormat="false" ht="81" hidden="false" customHeight="true" outlineLevel="0" collapsed="false">
      <c r="A425" s="32" t="n">
        <v>401</v>
      </c>
      <c r="B425" s="33" t="s">
        <v>67</v>
      </c>
      <c r="C425" s="33" t="s">
        <v>1228</v>
      </c>
      <c r="D425" s="33" t="s">
        <v>1229</v>
      </c>
      <c r="E425" s="33" t="s">
        <v>761</v>
      </c>
      <c r="F425" s="33" t="s">
        <v>1230</v>
      </c>
      <c r="G425" s="33" t="s">
        <v>1231</v>
      </c>
      <c r="H425" s="33"/>
      <c r="I425" s="26"/>
      <c r="J425" s="26"/>
      <c r="K425" s="26"/>
    </row>
    <row r="426" customFormat="false" ht="81" hidden="false" customHeight="true" outlineLevel="0" collapsed="false">
      <c r="A426" s="32" t="n">
        <v>402</v>
      </c>
      <c r="B426" s="33" t="s">
        <v>67</v>
      </c>
      <c r="C426" s="33" t="s">
        <v>1228</v>
      </c>
      <c r="D426" s="33" t="s">
        <v>1229</v>
      </c>
      <c r="E426" s="33" t="s">
        <v>890</v>
      </c>
      <c r="F426" s="33" t="s">
        <v>1232</v>
      </c>
      <c r="G426" s="33" t="s">
        <v>1233</v>
      </c>
      <c r="H426" s="33"/>
      <c r="I426" s="26"/>
      <c r="J426" s="26"/>
      <c r="K426" s="26"/>
    </row>
    <row r="427" customFormat="false" ht="40.5" hidden="false" customHeight="true" outlineLevel="0" collapsed="false">
      <c r="A427" s="32" t="n">
        <v>403</v>
      </c>
      <c r="B427" s="33" t="s">
        <v>67</v>
      </c>
      <c r="C427" s="33" t="s">
        <v>1228</v>
      </c>
      <c r="D427" s="33" t="s">
        <v>1234</v>
      </c>
      <c r="E427" s="33" t="s">
        <v>893</v>
      </c>
      <c r="F427" s="33" t="s">
        <v>1235</v>
      </c>
      <c r="G427" s="33" t="s">
        <v>1236</v>
      </c>
      <c r="H427" s="33"/>
      <c r="I427" s="26"/>
      <c r="J427" s="26"/>
      <c r="K427" s="26"/>
    </row>
    <row r="428" customFormat="false" ht="40.5" hidden="false" customHeight="true" outlineLevel="0" collapsed="false">
      <c r="A428" s="32" t="n">
        <v>404</v>
      </c>
      <c r="B428" s="33" t="s">
        <v>67</v>
      </c>
      <c r="C428" s="33" t="s">
        <v>1228</v>
      </c>
      <c r="D428" s="33" t="s">
        <v>1237</v>
      </c>
      <c r="E428" s="33" t="s">
        <v>893</v>
      </c>
      <c r="F428" s="33" t="s">
        <v>1238</v>
      </c>
      <c r="G428" s="33" t="s">
        <v>1239</v>
      </c>
      <c r="H428" s="33"/>
      <c r="I428" s="26"/>
      <c r="J428" s="26"/>
      <c r="K428" s="26"/>
    </row>
    <row r="429" customFormat="false" ht="40.5" hidden="false" customHeight="true" outlineLevel="0" collapsed="false">
      <c r="A429" s="32" t="n">
        <v>405</v>
      </c>
      <c r="B429" s="33" t="s">
        <v>67</v>
      </c>
      <c r="C429" s="33" t="s">
        <v>1228</v>
      </c>
      <c r="D429" s="33" t="s">
        <v>1234</v>
      </c>
      <c r="E429" s="33" t="s">
        <v>896</v>
      </c>
      <c r="F429" s="33" t="s">
        <v>1240</v>
      </c>
      <c r="G429" s="33" t="s">
        <v>1241</v>
      </c>
      <c r="H429" s="33"/>
      <c r="I429" s="26"/>
      <c r="J429" s="26"/>
      <c r="K429" s="26"/>
    </row>
    <row r="430" customFormat="false" ht="40.5" hidden="false" customHeight="true" outlineLevel="0" collapsed="false">
      <c r="A430" s="32" t="n">
        <v>406</v>
      </c>
      <c r="B430" s="33" t="s">
        <v>67</v>
      </c>
      <c r="C430" s="33" t="s">
        <v>1228</v>
      </c>
      <c r="D430" s="33" t="s">
        <v>1237</v>
      </c>
      <c r="E430" s="33" t="s">
        <v>896</v>
      </c>
      <c r="F430" s="33" t="s">
        <v>1242</v>
      </c>
      <c r="G430" s="33" t="s">
        <v>1243</v>
      </c>
      <c r="H430" s="33"/>
      <c r="I430" s="26"/>
      <c r="J430" s="26"/>
      <c r="K430" s="26"/>
    </row>
    <row r="431" customFormat="false" ht="94.5" hidden="false" customHeight="true" outlineLevel="0" collapsed="false">
      <c r="A431" s="32" t="n">
        <v>407</v>
      </c>
      <c r="B431" s="33" t="s">
        <v>67</v>
      </c>
      <c r="C431" s="33" t="s">
        <v>1228</v>
      </c>
      <c r="D431" s="33" t="s">
        <v>1244</v>
      </c>
      <c r="E431" s="33" t="s">
        <v>1245</v>
      </c>
      <c r="F431" s="33" t="s">
        <v>1246</v>
      </c>
      <c r="G431" s="33" t="s">
        <v>1247</v>
      </c>
      <c r="H431" s="33" t="s">
        <v>785</v>
      </c>
      <c r="I431" s="26"/>
      <c r="J431" s="26"/>
      <c r="K431" s="26"/>
    </row>
    <row r="432" customFormat="false" ht="54" hidden="false" customHeight="true" outlineLevel="0" collapsed="false">
      <c r="A432" s="32" t="n">
        <v>408</v>
      </c>
      <c r="B432" s="33" t="s">
        <v>67</v>
      </c>
      <c r="C432" s="33" t="s">
        <v>1228</v>
      </c>
      <c r="D432" s="33" t="s">
        <v>1244</v>
      </c>
      <c r="E432" s="33" t="s">
        <v>1248</v>
      </c>
      <c r="F432" s="33" t="s">
        <v>1249</v>
      </c>
      <c r="G432" s="33" t="s">
        <v>1250</v>
      </c>
      <c r="H432" s="33"/>
      <c r="I432" s="26"/>
      <c r="J432" s="26"/>
      <c r="K432" s="26"/>
    </row>
    <row r="433" customFormat="false" ht="40.5" hidden="false" customHeight="true" outlineLevel="0" collapsed="false">
      <c r="A433" s="32" t="n">
        <v>409</v>
      </c>
      <c r="B433" s="33" t="s">
        <v>67</v>
      </c>
      <c r="C433" s="33" t="s">
        <v>1228</v>
      </c>
      <c r="D433" s="33" t="s">
        <v>1244</v>
      </c>
      <c r="E433" s="33" t="s">
        <v>756</v>
      </c>
      <c r="F433" s="33" t="s">
        <v>1251</v>
      </c>
      <c r="G433" s="33" t="s">
        <v>1252</v>
      </c>
      <c r="H433" s="33"/>
      <c r="I433" s="26"/>
      <c r="J433" s="26"/>
      <c r="K433" s="26"/>
    </row>
    <row r="434" customFormat="false" ht="40.5" hidden="false" customHeight="true" outlineLevel="0" collapsed="false">
      <c r="A434" s="32" t="n">
        <v>410</v>
      </c>
      <c r="B434" s="33" t="s">
        <v>67</v>
      </c>
      <c r="C434" s="33" t="s">
        <v>1228</v>
      </c>
      <c r="D434" s="33" t="s">
        <v>1253</v>
      </c>
      <c r="E434" s="33"/>
      <c r="F434" s="33" t="s">
        <v>1254</v>
      </c>
      <c r="G434" s="33" t="s">
        <v>1255</v>
      </c>
      <c r="H434" s="33"/>
      <c r="I434" s="26"/>
      <c r="J434" s="26"/>
      <c r="K434" s="26"/>
    </row>
    <row r="435" customFormat="false" ht="40.5" hidden="false" customHeight="true" outlineLevel="0" collapsed="false">
      <c r="A435" s="32" t="n">
        <v>411</v>
      </c>
      <c r="B435" s="33" t="s">
        <v>67</v>
      </c>
      <c r="C435" s="33" t="s">
        <v>1228</v>
      </c>
      <c r="D435" s="33" t="s">
        <v>1256</v>
      </c>
      <c r="E435" s="33" t="s">
        <v>755</v>
      </c>
      <c r="F435" s="33" t="s">
        <v>1257</v>
      </c>
      <c r="G435" s="33" t="s">
        <v>1258</v>
      </c>
      <c r="H435" s="33"/>
      <c r="I435" s="26"/>
      <c r="J435" s="26"/>
      <c r="K435" s="26"/>
    </row>
    <row r="436" customFormat="false" ht="40.5" hidden="false" customHeight="true" outlineLevel="0" collapsed="false">
      <c r="A436" s="32" t="n">
        <v>412</v>
      </c>
      <c r="B436" s="33" t="s">
        <v>67</v>
      </c>
      <c r="C436" s="33" t="s">
        <v>1228</v>
      </c>
      <c r="D436" s="33" t="s">
        <v>1256</v>
      </c>
      <c r="E436" s="33" t="s">
        <v>893</v>
      </c>
      <c r="F436" s="33" t="s">
        <v>1259</v>
      </c>
      <c r="G436" s="33" t="s">
        <v>1260</v>
      </c>
      <c r="H436" s="33"/>
      <c r="I436" s="26"/>
      <c r="J436" s="26"/>
      <c r="K436" s="26"/>
    </row>
    <row r="437" customFormat="false" ht="40.5" hidden="false" customHeight="true" outlineLevel="0" collapsed="false">
      <c r="A437" s="32" t="n">
        <v>413</v>
      </c>
      <c r="B437" s="33" t="s">
        <v>67</v>
      </c>
      <c r="C437" s="33" t="s">
        <v>1228</v>
      </c>
      <c r="D437" s="33" t="s">
        <v>1256</v>
      </c>
      <c r="E437" s="33" t="s">
        <v>896</v>
      </c>
      <c r="F437" s="33" t="s">
        <v>1261</v>
      </c>
      <c r="G437" s="33" t="s">
        <v>1262</v>
      </c>
      <c r="H437" s="33"/>
      <c r="I437" s="26"/>
      <c r="J437" s="26"/>
      <c r="K437" s="26"/>
    </row>
    <row r="438" customFormat="false" ht="40.5" hidden="false" customHeight="true" outlineLevel="0" collapsed="false">
      <c r="A438" s="32" t="n">
        <v>414</v>
      </c>
      <c r="B438" s="33" t="s">
        <v>67</v>
      </c>
      <c r="C438" s="33" t="s">
        <v>1228</v>
      </c>
      <c r="D438" s="33" t="s">
        <v>1263</v>
      </c>
      <c r="E438" s="33" t="s">
        <v>761</v>
      </c>
      <c r="F438" s="33" t="s">
        <v>1264</v>
      </c>
      <c r="G438" s="33" t="s">
        <v>1265</v>
      </c>
      <c r="H438" s="33"/>
      <c r="I438" s="26"/>
      <c r="J438" s="26"/>
      <c r="K438" s="26"/>
    </row>
    <row r="439" customFormat="false" ht="40.5" hidden="false" customHeight="true" outlineLevel="0" collapsed="false">
      <c r="A439" s="32" t="n">
        <v>415</v>
      </c>
      <c r="B439" s="33" t="s">
        <v>67</v>
      </c>
      <c r="C439" s="33" t="s">
        <v>1228</v>
      </c>
      <c r="D439" s="33" t="s">
        <v>1263</v>
      </c>
      <c r="E439" s="33" t="s">
        <v>890</v>
      </c>
      <c r="F439" s="33" t="s">
        <v>1266</v>
      </c>
      <c r="G439" s="33" t="s">
        <v>1267</v>
      </c>
      <c r="H439" s="33"/>
      <c r="I439" s="26"/>
      <c r="J439" s="26"/>
      <c r="K439" s="26"/>
    </row>
    <row r="440" customFormat="false" ht="40.5" hidden="false" customHeight="true" outlineLevel="0" collapsed="false">
      <c r="A440" s="32" t="n">
        <v>416</v>
      </c>
      <c r="B440" s="33" t="s">
        <v>67</v>
      </c>
      <c r="C440" s="33" t="s">
        <v>1228</v>
      </c>
      <c r="D440" s="33" t="s">
        <v>1263</v>
      </c>
      <c r="E440" s="33" t="s">
        <v>893</v>
      </c>
      <c r="F440" s="33" t="s">
        <v>1268</v>
      </c>
      <c r="G440" s="33" t="s">
        <v>1269</v>
      </c>
      <c r="H440" s="33"/>
      <c r="I440" s="26"/>
      <c r="J440" s="26"/>
      <c r="K440" s="26"/>
    </row>
    <row r="441" customFormat="false" ht="54" hidden="false" customHeight="true" outlineLevel="0" collapsed="false">
      <c r="A441" s="32" t="n">
        <v>417</v>
      </c>
      <c r="B441" s="33" t="s">
        <v>67</v>
      </c>
      <c r="C441" s="33" t="s">
        <v>1228</v>
      </c>
      <c r="D441" s="33" t="s">
        <v>1263</v>
      </c>
      <c r="E441" s="33" t="s">
        <v>896</v>
      </c>
      <c r="F441" s="33" t="s">
        <v>1270</v>
      </c>
      <c r="G441" s="33" t="s">
        <v>1271</v>
      </c>
      <c r="H441" s="33"/>
      <c r="I441" s="26"/>
      <c r="J441" s="26"/>
      <c r="K441" s="26"/>
    </row>
    <row r="442" customFormat="false" ht="40.5" hidden="false" customHeight="true" outlineLevel="0" collapsed="false">
      <c r="A442" s="32" t="n">
        <v>418</v>
      </c>
      <c r="B442" s="33" t="s">
        <v>67</v>
      </c>
      <c r="C442" s="33" t="s">
        <v>1228</v>
      </c>
      <c r="D442" s="33" t="s">
        <v>1272</v>
      </c>
      <c r="E442" s="33"/>
      <c r="F442" s="33" t="s">
        <v>1273</v>
      </c>
      <c r="G442" s="33" t="s">
        <v>1274</v>
      </c>
      <c r="H442" s="33"/>
      <c r="I442" s="26"/>
      <c r="J442" s="26"/>
      <c r="K442" s="26"/>
    </row>
    <row r="443" customFormat="false" ht="54" hidden="false" customHeight="true" outlineLevel="0" collapsed="false">
      <c r="A443" s="32" t="n">
        <v>419</v>
      </c>
      <c r="B443" s="33" t="s">
        <v>67</v>
      </c>
      <c r="C443" s="33" t="s">
        <v>1275</v>
      </c>
      <c r="D443" s="33" t="s">
        <v>1276</v>
      </c>
      <c r="E443" s="33"/>
      <c r="F443" s="33" t="s">
        <v>1277</v>
      </c>
      <c r="G443" s="33" t="s">
        <v>1278</v>
      </c>
      <c r="H443" s="33" t="s">
        <v>1279</v>
      </c>
      <c r="I443" s="26"/>
      <c r="J443" s="26"/>
      <c r="K443" s="26"/>
    </row>
    <row r="444" customFormat="false" ht="40.5" hidden="false" customHeight="true" outlineLevel="0" collapsed="false">
      <c r="A444" s="32" t="n">
        <v>420</v>
      </c>
      <c r="B444" s="33" t="s">
        <v>67</v>
      </c>
      <c r="C444" s="33" t="s">
        <v>1275</v>
      </c>
      <c r="D444" s="33" t="s">
        <v>1280</v>
      </c>
      <c r="E444" s="33"/>
      <c r="F444" s="33" t="s">
        <v>497</v>
      </c>
      <c r="G444" s="33" t="s">
        <v>498</v>
      </c>
      <c r="H444" s="33" t="s">
        <v>1281</v>
      </c>
      <c r="I444" s="26"/>
      <c r="J444" s="26"/>
      <c r="K444" s="26"/>
    </row>
    <row r="445" customFormat="false" ht="40.5" hidden="false" customHeight="true" outlineLevel="0" collapsed="false">
      <c r="A445" s="32" t="n">
        <v>421</v>
      </c>
      <c r="B445" s="33" t="s">
        <v>67</v>
      </c>
      <c r="C445" s="33" t="s">
        <v>1275</v>
      </c>
      <c r="D445" s="33" t="s">
        <v>1282</v>
      </c>
      <c r="E445" s="33"/>
      <c r="F445" s="33" t="s">
        <v>499</v>
      </c>
      <c r="G445" s="33" t="s">
        <v>500</v>
      </c>
      <c r="H445" s="33" t="s">
        <v>1281</v>
      </c>
      <c r="I445" s="26"/>
      <c r="J445" s="26"/>
      <c r="K445" s="26"/>
    </row>
    <row r="446" customFormat="false" ht="40.5" hidden="false" customHeight="true" outlineLevel="0" collapsed="false">
      <c r="A446" s="32" t="n">
        <v>422</v>
      </c>
      <c r="B446" s="33" t="s">
        <v>67</v>
      </c>
      <c r="C446" s="33" t="s">
        <v>1275</v>
      </c>
      <c r="D446" s="33" t="s">
        <v>1283</v>
      </c>
      <c r="E446" s="33"/>
      <c r="F446" s="33" t="s">
        <v>501</v>
      </c>
      <c r="G446" s="33" t="s">
        <v>502</v>
      </c>
      <c r="H446" s="33" t="s">
        <v>1281</v>
      </c>
      <c r="I446" s="26"/>
      <c r="J446" s="26"/>
      <c r="K446" s="26"/>
    </row>
    <row r="447" customFormat="false" ht="40.5" hidden="false" customHeight="true" outlineLevel="0" collapsed="false">
      <c r="A447" s="32" t="n">
        <v>423</v>
      </c>
      <c r="B447" s="33" t="s">
        <v>67</v>
      </c>
      <c r="C447" s="33" t="s">
        <v>1275</v>
      </c>
      <c r="D447" s="33" t="s">
        <v>1284</v>
      </c>
      <c r="E447" s="33"/>
      <c r="F447" s="33" t="s">
        <v>503</v>
      </c>
      <c r="G447" s="33" t="s">
        <v>504</v>
      </c>
      <c r="H447" s="33" t="s">
        <v>1281</v>
      </c>
      <c r="I447" s="26"/>
      <c r="J447" s="26"/>
      <c r="K447" s="26"/>
    </row>
    <row r="448" customFormat="false" ht="40.5" hidden="false" customHeight="true" outlineLevel="0" collapsed="false">
      <c r="A448" s="32" t="n">
        <v>424</v>
      </c>
      <c r="B448" s="33" t="s">
        <v>67</v>
      </c>
      <c r="C448" s="33" t="s">
        <v>1275</v>
      </c>
      <c r="D448" s="33" t="s">
        <v>1285</v>
      </c>
      <c r="E448" s="33"/>
      <c r="F448" s="33" t="s">
        <v>1286</v>
      </c>
      <c r="G448" s="33" t="s">
        <v>506</v>
      </c>
      <c r="H448" s="33" t="s">
        <v>1281</v>
      </c>
      <c r="I448" s="26"/>
      <c r="J448" s="26"/>
      <c r="K448" s="26"/>
    </row>
    <row r="449" customFormat="false" ht="40.5" hidden="false" customHeight="true" outlineLevel="0" collapsed="false">
      <c r="A449" s="32" t="n">
        <v>425</v>
      </c>
      <c r="B449" s="33" t="s">
        <v>67</v>
      </c>
      <c r="C449" s="33" t="s">
        <v>1275</v>
      </c>
      <c r="D449" s="33" t="s">
        <v>1287</v>
      </c>
      <c r="E449" s="33"/>
      <c r="F449" s="33" t="s">
        <v>1288</v>
      </c>
      <c r="G449" s="33" t="s">
        <v>1289</v>
      </c>
      <c r="H449" s="33" t="s">
        <v>1290</v>
      </c>
      <c r="I449" s="26"/>
      <c r="J449" s="26"/>
      <c r="K449" s="26"/>
    </row>
    <row r="450" customFormat="false" ht="40.5" hidden="false" customHeight="true" outlineLevel="0" collapsed="false">
      <c r="A450" s="32" t="n">
        <v>426</v>
      </c>
      <c r="B450" s="33" t="s">
        <v>67</v>
      </c>
      <c r="C450" s="33" t="s">
        <v>1275</v>
      </c>
      <c r="D450" s="33" t="s">
        <v>1291</v>
      </c>
      <c r="E450" s="33"/>
      <c r="F450" s="33" t="s">
        <v>1292</v>
      </c>
      <c r="G450" s="33" t="s">
        <v>1293</v>
      </c>
      <c r="H450" s="33" t="s">
        <v>1294</v>
      </c>
      <c r="I450" s="26"/>
      <c r="J450" s="26"/>
      <c r="K450" s="26"/>
    </row>
    <row r="451" customFormat="false" ht="54" hidden="false" customHeight="true" outlineLevel="0" collapsed="false">
      <c r="A451" s="24" t="n">
        <v>427</v>
      </c>
      <c r="B451" s="25" t="s">
        <v>68</v>
      </c>
      <c r="C451" s="25"/>
      <c r="D451" s="25" t="s">
        <v>78</v>
      </c>
      <c r="E451" s="25"/>
      <c r="F451" s="25" t="s">
        <v>1295</v>
      </c>
      <c r="G451" s="25" t="s">
        <v>1296</v>
      </c>
      <c r="H451" s="25"/>
      <c r="I451" s="26"/>
      <c r="J451" s="26"/>
      <c r="K451" s="26"/>
    </row>
    <row r="452" customFormat="false" ht="54" hidden="false" customHeight="true" outlineLevel="0" collapsed="false">
      <c r="A452" s="24" t="n">
        <v>428</v>
      </c>
      <c r="B452" s="25" t="s">
        <v>68</v>
      </c>
      <c r="C452" s="25"/>
      <c r="D452" s="25" t="s">
        <v>1297</v>
      </c>
      <c r="E452" s="25"/>
      <c r="F452" s="25" t="s">
        <v>1298</v>
      </c>
      <c r="G452" s="25" t="s">
        <v>1299</v>
      </c>
      <c r="H452" s="25"/>
      <c r="I452" s="26"/>
      <c r="J452" s="26"/>
      <c r="K452" s="26"/>
    </row>
    <row r="453" customFormat="false" ht="54" hidden="false" customHeight="true" outlineLevel="0" collapsed="false">
      <c r="A453" s="24" t="n">
        <v>429</v>
      </c>
      <c r="B453" s="25" t="s">
        <v>68</v>
      </c>
      <c r="C453" s="25"/>
      <c r="D453" s="25" t="s">
        <v>1300</v>
      </c>
      <c r="E453" s="25"/>
      <c r="F453" s="25" t="s">
        <v>1301</v>
      </c>
      <c r="G453" s="25" t="s">
        <v>1302</v>
      </c>
      <c r="H453" s="25"/>
      <c r="I453" s="26"/>
      <c r="J453" s="26"/>
      <c r="K453" s="26"/>
    </row>
    <row r="454" customFormat="false" ht="54" hidden="false" customHeight="true" outlineLevel="0" collapsed="false">
      <c r="A454" s="24" t="n">
        <v>430</v>
      </c>
      <c r="B454" s="25" t="s">
        <v>68</v>
      </c>
      <c r="C454" s="25"/>
      <c r="D454" s="25" t="s">
        <v>312</v>
      </c>
      <c r="E454" s="25"/>
      <c r="F454" s="25" t="s">
        <v>1303</v>
      </c>
      <c r="G454" s="25" t="s">
        <v>1304</v>
      </c>
      <c r="H454" s="25"/>
      <c r="I454" s="26"/>
      <c r="J454" s="26"/>
      <c r="K454" s="26"/>
    </row>
    <row r="455" customFormat="false" ht="54" hidden="false" customHeight="true" outlineLevel="0" collapsed="false">
      <c r="A455" s="24" t="n">
        <v>431</v>
      </c>
      <c r="B455" s="25" t="s">
        <v>68</v>
      </c>
      <c r="C455" s="25"/>
      <c r="D455" s="25" t="s">
        <v>1305</v>
      </c>
      <c r="E455" s="25"/>
      <c r="F455" s="25" t="s">
        <v>1306</v>
      </c>
      <c r="G455" s="25" t="s">
        <v>1307</v>
      </c>
      <c r="H455" s="25"/>
      <c r="I455" s="26"/>
      <c r="J455" s="26"/>
      <c r="K455" s="26"/>
    </row>
    <row r="456" customFormat="false" ht="54" hidden="false" customHeight="true" outlineLevel="0" collapsed="false">
      <c r="A456" s="24" t="n">
        <v>432</v>
      </c>
      <c r="B456" s="25" t="s">
        <v>68</v>
      </c>
      <c r="C456" s="25"/>
      <c r="D456" s="25" t="s">
        <v>1308</v>
      </c>
      <c r="E456" s="25"/>
      <c r="F456" s="25" t="s">
        <v>1309</v>
      </c>
      <c r="G456" s="25" t="s">
        <v>1310</v>
      </c>
      <c r="H456" s="25"/>
      <c r="I456" s="26"/>
      <c r="J456" s="26"/>
      <c r="K456" s="26"/>
    </row>
    <row r="457" customFormat="false" ht="54" hidden="false" customHeight="true" outlineLevel="0" collapsed="false">
      <c r="A457" s="24" t="n">
        <v>433</v>
      </c>
      <c r="B457" s="25" t="s">
        <v>68</v>
      </c>
      <c r="C457" s="25"/>
      <c r="D457" s="25" t="s">
        <v>1311</v>
      </c>
      <c r="E457" s="25"/>
      <c r="F457" s="25" t="s">
        <v>1312</v>
      </c>
      <c r="G457" s="25" t="s">
        <v>1313</v>
      </c>
      <c r="H457" s="25"/>
      <c r="I457" s="26"/>
      <c r="J457" s="26"/>
      <c r="K457" s="26"/>
    </row>
    <row r="458" customFormat="false" ht="54" hidden="false" customHeight="true" outlineLevel="0" collapsed="false">
      <c r="A458" s="24" t="n">
        <v>434</v>
      </c>
      <c r="B458" s="25" t="s">
        <v>68</v>
      </c>
      <c r="C458" s="25"/>
      <c r="D458" s="25" t="s">
        <v>1314</v>
      </c>
      <c r="E458" s="25"/>
      <c r="F458" s="25" t="s">
        <v>1315</v>
      </c>
      <c r="G458" s="25" t="s">
        <v>1316</v>
      </c>
      <c r="H458" s="25"/>
      <c r="I458" s="26"/>
      <c r="J458" s="26"/>
      <c r="K458" s="26"/>
    </row>
    <row r="459" customFormat="false" ht="54" hidden="false" customHeight="true" outlineLevel="0" collapsed="false">
      <c r="A459" s="24" t="n">
        <v>435</v>
      </c>
      <c r="B459" s="25" t="s">
        <v>68</v>
      </c>
      <c r="C459" s="25"/>
      <c r="D459" s="25" t="s">
        <v>1317</v>
      </c>
      <c r="E459" s="25"/>
      <c r="F459" s="25" t="s">
        <v>1318</v>
      </c>
      <c r="G459" s="25" t="s">
        <v>1319</v>
      </c>
      <c r="H459" s="25"/>
      <c r="I459" s="26"/>
      <c r="J459" s="26"/>
      <c r="K459" s="26"/>
    </row>
    <row r="460" customFormat="false" ht="54" hidden="false" customHeight="true" outlineLevel="0" collapsed="false">
      <c r="A460" s="24" t="n">
        <v>436</v>
      </c>
      <c r="B460" s="25" t="s">
        <v>68</v>
      </c>
      <c r="C460" s="25"/>
      <c r="D460" s="25" t="s">
        <v>1320</v>
      </c>
      <c r="E460" s="25"/>
      <c r="F460" s="25" t="s">
        <v>1321</v>
      </c>
      <c r="G460" s="25" t="s">
        <v>1322</v>
      </c>
      <c r="H460" s="25"/>
      <c r="I460" s="26"/>
      <c r="J460" s="26"/>
      <c r="K460" s="26"/>
    </row>
    <row r="461" customFormat="false" ht="54" hidden="false" customHeight="true" outlineLevel="0" collapsed="false">
      <c r="A461" s="24" t="n">
        <v>437</v>
      </c>
      <c r="B461" s="25" t="s">
        <v>68</v>
      </c>
      <c r="C461" s="25" t="s">
        <v>1323</v>
      </c>
      <c r="D461" s="25" t="s">
        <v>1324</v>
      </c>
      <c r="E461" s="25"/>
      <c r="F461" s="25" t="s">
        <v>1325</v>
      </c>
      <c r="G461" s="25" t="s">
        <v>1326</v>
      </c>
      <c r="H461" s="25"/>
      <c r="I461" s="26"/>
      <c r="J461" s="26"/>
      <c r="K461" s="26"/>
    </row>
    <row r="462" customFormat="false" ht="54" hidden="false" customHeight="true" outlineLevel="0" collapsed="false">
      <c r="A462" s="24" t="n">
        <v>438</v>
      </c>
      <c r="B462" s="25" t="s">
        <v>68</v>
      </c>
      <c r="C462" s="25" t="s">
        <v>1323</v>
      </c>
      <c r="D462" s="25" t="s">
        <v>1327</v>
      </c>
      <c r="E462" s="25"/>
      <c r="F462" s="25" t="s">
        <v>1328</v>
      </c>
      <c r="G462" s="25" t="s">
        <v>1329</v>
      </c>
      <c r="H462" s="25"/>
      <c r="I462" s="26"/>
      <c r="J462" s="26"/>
      <c r="K462" s="26"/>
    </row>
    <row r="463" customFormat="false" ht="54" hidden="false" customHeight="true" outlineLevel="0" collapsed="false">
      <c r="A463" s="24" t="n">
        <v>439</v>
      </c>
      <c r="B463" s="25" t="s">
        <v>68</v>
      </c>
      <c r="C463" s="25" t="s">
        <v>1323</v>
      </c>
      <c r="D463" s="25" t="s">
        <v>1330</v>
      </c>
      <c r="E463" s="25"/>
      <c r="F463" s="25" t="s">
        <v>1331</v>
      </c>
      <c r="G463" s="25" t="s">
        <v>1331</v>
      </c>
      <c r="H463" s="25"/>
      <c r="I463" s="26"/>
      <c r="J463" s="26"/>
      <c r="K463" s="26"/>
    </row>
    <row r="464" customFormat="false" ht="54" hidden="false" customHeight="true" outlineLevel="0" collapsed="false">
      <c r="A464" s="24" t="n">
        <v>440</v>
      </c>
      <c r="B464" s="25" t="s">
        <v>68</v>
      </c>
      <c r="C464" s="25" t="s">
        <v>1323</v>
      </c>
      <c r="D464" s="25" t="s">
        <v>1332</v>
      </c>
      <c r="E464" s="25"/>
      <c r="F464" s="25" t="s">
        <v>1333</v>
      </c>
      <c r="G464" s="25" t="s">
        <v>1334</v>
      </c>
      <c r="H464" s="25"/>
      <c r="I464" s="26"/>
      <c r="J464" s="26"/>
      <c r="K464" s="26"/>
    </row>
    <row r="465" customFormat="false" ht="54" hidden="false" customHeight="true" outlineLevel="0" collapsed="false">
      <c r="A465" s="24" t="n">
        <v>441</v>
      </c>
      <c r="B465" s="25" t="s">
        <v>68</v>
      </c>
      <c r="C465" s="25" t="s">
        <v>1323</v>
      </c>
      <c r="D465" s="25" t="s">
        <v>1335</v>
      </c>
      <c r="E465" s="25"/>
      <c r="F465" s="25" t="s">
        <v>1336</v>
      </c>
      <c r="G465" s="25" t="s">
        <v>1337</v>
      </c>
      <c r="H465" s="25"/>
      <c r="I465" s="26"/>
      <c r="J465" s="26"/>
      <c r="K465" s="26"/>
    </row>
    <row r="466" customFormat="false" ht="54" hidden="false" customHeight="true" outlineLevel="0" collapsed="false">
      <c r="A466" s="24" t="n">
        <v>442</v>
      </c>
      <c r="B466" s="25" t="s">
        <v>68</v>
      </c>
      <c r="C466" s="25" t="s">
        <v>1323</v>
      </c>
      <c r="D466" s="25" t="s">
        <v>1338</v>
      </c>
      <c r="E466" s="25"/>
      <c r="F466" s="25" t="s">
        <v>1339</v>
      </c>
      <c r="G466" s="25" t="s">
        <v>1340</v>
      </c>
      <c r="H466" s="25"/>
      <c r="I466" s="26"/>
      <c r="J466" s="26"/>
      <c r="K466" s="26"/>
    </row>
    <row r="467" customFormat="false" ht="54" hidden="false" customHeight="true" outlineLevel="0" collapsed="false">
      <c r="A467" s="24" t="n">
        <v>443</v>
      </c>
      <c r="B467" s="25" t="s">
        <v>68</v>
      </c>
      <c r="C467" s="25" t="s">
        <v>1323</v>
      </c>
      <c r="D467" s="25" t="s">
        <v>1341</v>
      </c>
      <c r="E467" s="25"/>
      <c r="F467" s="25" t="s">
        <v>1342</v>
      </c>
      <c r="G467" s="25" t="s">
        <v>1343</v>
      </c>
      <c r="H467" s="25"/>
      <c r="I467" s="26"/>
      <c r="J467" s="26"/>
      <c r="K467" s="26"/>
    </row>
    <row r="468" customFormat="false" ht="54" hidden="false" customHeight="true" outlineLevel="0" collapsed="false">
      <c r="A468" s="24" t="n">
        <v>444</v>
      </c>
      <c r="B468" s="25" t="s">
        <v>68</v>
      </c>
      <c r="C468" s="25" t="s">
        <v>1323</v>
      </c>
      <c r="D468" s="25" t="s">
        <v>1344</v>
      </c>
      <c r="E468" s="25"/>
      <c r="F468" s="25" t="s">
        <v>1078</v>
      </c>
      <c r="G468" s="25" t="s">
        <v>1079</v>
      </c>
      <c r="H468" s="25"/>
      <c r="I468" s="26"/>
      <c r="J468" s="26"/>
      <c r="K468" s="26"/>
    </row>
    <row r="469" customFormat="false" ht="54" hidden="false" customHeight="true" outlineLevel="0" collapsed="false">
      <c r="A469" s="24" t="n">
        <v>445</v>
      </c>
      <c r="B469" s="25" t="s">
        <v>68</v>
      </c>
      <c r="C469" s="25" t="s">
        <v>1323</v>
      </c>
      <c r="D469" s="25" t="s">
        <v>1345</v>
      </c>
      <c r="E469" s="25"/>
      <c r="F469" s="25" t="s">
        <v>1081</v>
      </c>
      <c r="G469" s="25" t="s">
        <v>1082</v>
      </c>
      <c r="H469" s="25"/>
      <c r="I469" s="26"/>
      <c r="J469" s="26"/>
      <c r="K469" s="26"/>
    </row>
    <row r="470" customFormat="false" ht="54" hidden="false" customHeight="true" outlineLevel="0" collapsed="false">
      <c r="A470" s="24" t="n">
        <v>446</v>
      </c>
      <c r="B470" s="25" t="s">
        <v>68</v>
      </c>
      <c r="C470" s="25" t="s">
        <v>1323</v>
      </c>
      <c r="D470" s="25" t="s">
        <v>1346</v>
      </c>
      <c r="E470" s="25"/>
      <c r="F470" s="25" t="s">
        <v>1347</v>
      </c>
      <c r="G470" s="25" t="s">
        <v>1348</v>
      </c>
      <c r="H470" s="25"/>
      <c r="I470" s="26"/>
      <c r="J470" s="26"/>
      <c r="K470" s="26"/>
    </row>
    <row r="471" customFormat="false" ht="54" hidden="false" customHeight="true" outlineLevel="0" collapsed="false">
      <c r="A471" s="24" t="n">
        <v>447</v>
      </c>
      <c r="B471" s="25" t="s">
        <v>68</v>
      </c>
      <c r="C471" s="25" t="s">
        <v>1323</v>
      </c>
      <c r="D471" s="25" t="s">
        <v>1349</v>
      </c>
      <c r="E471" s="25"/>
      <c r="F471" s="25" t="s">
        <v>1350</v>
      </c>
      <c r="G471" s="25" t="s">
        <v>1351</v>
      </c>
      <c r="H471" s="25"/>
      <c r="I471" s="26"/>
      <c r="J471" s="26"/>
      <c r="K471" s="26"/>
    </row>
    <row r="472" customFormat="false" ht="54" hidden="false" customHeight="true" outlineLevel="0" collapsed="false">
      <c r="A472" s="24" t="n">
        <v>448</v>
      </c>
      <c r="B472" s="25" t="s">
        <v>68</v>
      </c>
      <c r="C472" s="25" t="s">
        <v>1323</v>
      </c>
      <c r="D472" s="25" t="s">
        <v>1352</v>
      </c>
      <c r="E472" s="25"/>
      <c r="F472" s="25" t="s">
        <v>69</v>
      </c>
      <c r="G472" s="25" t="s">
        <v>1353</v>
      </c>
      <c r="H472" s="25"/>
      <c r="I472" s="26"/>
      <c r="J472" s="26"/>
      <c r="K472" s="26"/>
    </row>
    <row r="473" customFormat="false" ht="54" hidden="false" customHeight="true" outlineLevel="0" collapsed="false">
      <c r="A473" s="24" t="n">
        <v>449</v>
      </c>
      <c r="B473" s="25" t="s">
        <v>68</v>
      </c>
      <c r="C473" s="25" t="s">
        <v>1323</v>
      </c>
      <c r="D473" s="25" t="s">
        <v>1354</v>
      </c>
      <c r="E473" s="25"/>
      <c r="F473" s="25" t="s">
        <v>1355</v>
      </c>
      <c r="G473" s="25" t="s">
        <v>1356</v>
      </c>
      <c r="H473" s="25"/>
      <c r="I473" s="26"/>
      <c r="J473" s="26"/>
      <c r="K473" s="26"/>
    </row>
    <row r="474" customFormat="false" ht="54" hidden="false" customHeight="true" outlineLevel="0" collapsed="false">
      <c r="A474" s="24" t="n">
        <v>450</v>
      </c>
      <c r="B474" s="25" t="s">
        <v>68</v>
      </c>
      <c r="C474" s="25" t="s">
        <v>1323</v>
      </c>
      <c r="D474" s="25" t="s">
        <v>1357</v>
      </c>
      <c r="E474" s="25"/>
      <c r="F474" s="25" t="s">
        <v>1358</v>
      </c>
      <c r="G474" s="25" t="s">
        <v>1359</v>
      </c>
      <c r="H474" s="25"/>
      <c r="I474" s="26"/>
      <c r="J474" s="26"/>
      <c r="K474" s="26"/>
    </row>
    <row r="475" customFormat="false" ht="54" hidden="false" customHeight="true" outlineLevel="0" collapsed="false">
      <c r="A475" s="24" t="n">
        <v>451</v>
      </c>
      <c r="B475" s="25" t="s">
        <v>68</v>
      </c>
      <c r="C475" s="25" t="s">
        <v>1323</v>
      </c>
      <c r="D475" s="25" t="s">
        <v>1360</v>
      </c>
      <c r="E475" s="25"/>
      <c r="F475" s="25" t="s">
        <v>1361</v>
      </c>
      <c r="G475" s="25" t="s">
        <v>1362</v>
      </c>
      <c r="H475" s="25"/>
      <c r="I475" s="26"/>
      <c r="J475" s="26"/>
      <c r="K475" s="26"/>
    </row>
    <row r="476" customFormat="false" ht="54" hidden="false" customHeight="true" outlineLevel="0" collapsed="false">
      <c r="A476" s="24" t="n">
        <v>452</v>
      </c>
      <c r="B476" s="25" t="s">
        <v>68</v>
      </c>
      <c r="C476" s="25" t="s">
        <v>1323</v>
      </c>
      <c r="D476" s="25" t="s">
        <v>1363</v>
      </c>
      <c r="E476" s="25"/>
      <c r="F476" s="25" t="s">
        <v>1364</v>
      </c>
      <c r="G476" s="25" t="s">
        <v>1365</v>
      </c>
      <c r="H476" s="25"/>
      <c r="I476" s="26"/>
      <c r="J476" s="26"/>
      <c r="K476" s="26"/>
    </row>
    <row r="477" customFormat="false" ht="54" hidden="false" customHeight="true" outlineLevel="0" collapsed="false">
      <c r="A477" s="24" t="n">
        <v>453</v>
      </c>
      <c r="B477" s="25" t="s">
        <v>68</v>
      </c>
      <c r="C477" s="25" t="s">
        <v>1366</v>
      </c>
      <c r="D477" s="25" t="s">
        <v>1367</v>
      </c>
      <c r="E477" s="25"/>
      <c r="F477" s="25" t="s">
        <v>1368</v>
      </c>
      <c r="G477" s="25" t="s">
        <v>1369</v>
      </c>
      <c r="H477" s="25"/>
      <c r="I477" s="26"/>
      <c r="J477" s="26"/>
      <c r="K477" s="26"/>
    </row>
    <row r="478" customFormat="false" ht="54" hidden="false" customHeight="true" outlineLevel="0" collapsed="false">
      <c r="A478" s="24" t="n">
        <v>454</v>
      </c>
      <c r="B478" s="25" t="s">
        <v>68</v>
      </c>
      <c r="C478" s="25" t="s">
        <v>1366</v>
      </c>
      <c r="D478" s="25" t="s">
        <v>1370</v>
      </c>
      <c r="E478" s="25"/>
      <c r="F478" s="25" t="s">
        <v>1371</v>
      </c>
      <c r="G478" s="25" t="s">
        <v>1372</v>
      </c>
      <c r="H478" s="25"/>
      <c r="I478" s="26"/>
      <c r="J478" s="26"/>
      <c r="K478" s="26"/>
    </row>
    <row r="479" customFormat="false" ht="54" hidden="false" customHeight="true" outlineLevel="0" collapsed="false">
      <c r="A479" s="24" t="n">
        <v>455</v>
      </c>
      <c r="B479" s="25" t="s">
        <v>68</v>
      </c>
      <c r="C479" s="25" t="s">
        <v>1366</v>
      </c>
      <c r="D479" s="25" t="s">
        <v>1373</v>
      </c>
      <c r="E479" s="25"/>
      <c r="F479" s="25" t="s">
        <v>1374</v>
      </c>
      <c r="G479" s="25" t="s">
        <v>1375</v>
      </c>
      <c r="H479" s="25"/>
      <c r="I479" s="26"/>
      <c r="J479" s="26"/>
      <c r="K479" s="26"/>
    </row>
    <row r="480" customFormat="false" ht="81" hidden="false" customHeight="true" outlineLevel="0" collapsed="false">
      <c r="A480" s="24" t="n">
        <v>456</v>
      </c>
      <c r="B480" s="25" t="s">
        <v>68</v>
      </c>
      <c r="C480" s="25" t="s">
        <v>1366</v>
      </c>
      <c r="D480" s="25" t="s">
        <v>1376</v>
      </c>
      <c r="E480" s="25"/>
      <c r="F480" s="25" t="s">
        <v>1377</v>
      </c>
      <c r="G480" s="25" t="s">
        <v>1378</v>
      </c>
      <c r="H480" s="25"/>
      <c r="I480" s="26"/>
      <c r="J480" s="26"/>
      <c r="K480" s="26"/>
    </row>
    <row r="481" customFormat="false" ht="54" hidden="false" customHeight="true" outlineLevel="0" collapsed="false">
      <c r="A481" s="24" t="n">
        <v>457</v>
      </c>
      <c r="B481" s="25" t="s">
        <v>68</v>
      </c>
      <c r="C481" s="25" t="s">
        <v>1366</v>
      </c>
      <c r="D481" s="25" t="s">
        <v>1379</v>
      </c>
      <c r="E481" s="25"/>
      <c r="F481" s="25" t="s">
        <v>1380</v>
      </c>
      <c r="G481" s="25" t="s">
        <v>1381</v>
      </c>
      <c r="H481" s="25"/>
      <c r="I481" s="26"/>
      <c r="J481" s="26"/>
      <c r="K481" s="26"/>
    </row>
    <row r="482" customFormat="false" ht="54" hidden="false" customHeight="true" outlineLevel="0" collapsed="false">
      <c r="A482" s="24" t="n">
        <v>458</v>
      </c>
      <c r="B482" s="25" t="s">
        <v>68</v>
      </c>
      <c r="C482" s="25" t="s">
        <v>1366</v>
      </c>
      <c r="D482" s="25" t="s">
        <v>1382</v>
      </c>
      <c r="E482" s="25"/>
      <c r="F482" s="25" t="s">
        <v>1383</v>
      </c>
      <c r="G482" s="25" t="s">
        <v>1384</v>
      </c>
      <c r="H482" s="25"/>
      <c r="I482" s="26"/>
      <c r="J482" s="26"/>
      <c r="K482" s="26"/>
    </row>
    <row r="483" customFormat="false" ht="54" hidden="false" customHeight="true" outlineLevel="0" collapsed="false">
      <c r="A483" s="24" t="n">
        <v>459</v>
      </c>
      <c r="B483" s="25" t="s">
        <v>68</v>
      </c>
      <c r="C483" s="25" t="s">
        <v>1366</v>
      </c>
      <c r="D483" s="25" t="s">
        <v>1385</v>
      </c>
      <c r="E483" s="25"/>
      <c r="F483" s="25" t="s">
        <v>1386</v>
      </c>
      <c r="G483" s="25" t="s">
        <v>1387</v>
      </c>
      <c r="H483" s="25"/>
      <c r="I483" s="26"/>
      <c r="J483" s="26"/>
      <c r="K483" s="26"/>
    </row>
    <row r="484" customFormat="false" ht="67.5" hidden="false" customHeight="true" outlineLevel="0" collapsed="false">
      <c r="A484" s="24" t="n">
        <v>460</v>
      </c>
      <c r="B484" s="25" t="s">
        <v>68</v>
      </c>
      <c r="C484" s="25" t="s">
        <v>1366</v>
      </c>
      <c r="D484" s="25" t="s">
        <v>1388</v>
      </c>
      <c r="E484" s="25"/>
      <c r="F484" s="25" t="s">
        <v>1389</v>
      </c>
      <c r="G484" s="25" t="s">
        <v>1390</v>
      </c>
      <c r="H484" s="25"/>
      <c r="I484" s="26"/>
      <c r="J484" s="26"/>
      <c r="K484" s="26"/>
    </row>
    <row r="485" customFormat="false" ht="54" hidden="false" customHeight="true" outlineLevel="0" collapsed="false">
      <c r="A485" s="24" t="n">
        <v>461</v>
      </c>
      <c r="B485" s="25" t="s">
        <v>68</v>
      </c>
      <c r="C485" s="25" t="s">
        <v>1366</v>
      </c>
      <c r="D485" s="25" t="s">
        <v>1391</v>
      </c>
      <c r="E485" s="25"/>
      <c r="F485" s="25" t="s">
        <v>1392</v>
      </c>
      <c r="G485" s="25" t="s">
        <v>1393</v>
      </c>
      <c r="H485" s="25"/>
      <c r="I485" s="26"/>
      <c r="J485" s="26"/>
      <c r="K485" s="26"/>
    </row>
    <row r="486" customFormat="false" ht="67.5" hidden="false" customHeight="true" outlineLevel="0" collapsed="false">
      <c r="A486" s="24" t="n">
        <v>462</v>
      </c>
      <c r="B486" s="25" t="s">
        <v>68</v>
      </c>
      <c r="C486" s="25" t="s">
        <v>1366</v>
      </c>
      <c r="D486" s="25" t="s">
        <v>1394</v>
      </c>
      <c r="E486" s="25"/>
      <c r="F486" s="25" t="s">
        <v>1395</v>
      </c>
      <c r="G486" s="25" t="s">
        <v>1396</v>
      </c>
      <c r="H486" s="25"/>
      <c r="I486" s="26"/>
      <c r="J486" s="26"/>
      <c r="K486" s="26"/>
    </row>
    <row r="487" customFormat="false" ht="94.5" hidden="false" customHeight="true" outlineLevel="0" collapsed="false">
      <c r="A487" s="24" t="n">
        <v>463</v>
      </c>
      <c r="B487" s="25" t="s">
        <v>68</v>
      </c>
      <c r="C487" s="25"/>
      <c r="D487" s="25" t="s">
        <v>1397</v>
      </c>
      <c r="E487" s="25"/>
      <c r="F487" s="25" t="s">
        <v>1398</v>
      </c>
      <c r="G487" s="25" t="s">
        <v>1399</v>
      </c>
      <c r="H487" s="25"/>
      <c r="I487" s="26"/>
      <c r="J487" s="26"/>
      <c r="K487" s="26"/>
    </row>
  </sheetData>
  <autoFilter ref="A4:K487"/>
  <conditionalFormatting sqref="I5:I487">
    <cfRule type="expression" priority="2" aboveAverage="0" equalAverage="0" bottom="0" percent="0" rank="0" text="" dxfId="10">
      <formula>I5="OK"</formula>
    </cfRule>
    <cfRule type="expression" priority="3" aboveAverage="0" equalAverage="0" bottom="0" percent="0" rank="0" text="" dxfId="11">
      <formula>I5="Change needed"</formula>
    </cfRule>
    <cfRule type="expression" priority="4" aboveAverage="0" equalAverage="0" bottom="0" percent="0" rank="0" text="" dxfId="12">
      <formula>I5="Question"</formula>
    </cfRule>
  </conditionalFormatting>
  <dataValidations count="1">
    <dataValidation allowBlank="true" error="Pick OK, Change needed or Question." errorStyle="stop" errorTitle="Status" operator="between" showDropDown="false" showErrorMessage="false" showInputMessage="false" sqref="I5:I9 I11:I26 I28:I40 I42:I45 I47 I49:I54 I56:I70 I72:I107 I109:I117 I119:I120 I122:I123 I125:I126 I128:I199 I201:I240 I242:I258 I260:I289 I291:I320 I322:I326 I328:I344 I346:I388 I390:I487" type="list">
      <formula1>"OK,Change needed,Question"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2026-09-28T04:43:58Z</dcterms:created>
  <dc:creator>openpyxl</dc:creator>
  <dc:description/>
  <dc:language>en-US</dc:language>
  <cp:lastModifiedBy/>
  <dcterms:modified xsi:type="dcterms:W3CDTF">2026-09-28T04:43:58Z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